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autoCompressPictures="0"/>
  <bookViews>
    <workbookView xWindow="0" yWindow="0" windowWidth="25540" windowHeight="8780" activeTab="1"/>
  </bookViews>
  <sheets>
    <sheet name="JULY 2014" sheetId="4" r:id="rId1"/>
    <sheet name="AUG 2014" sheetId="5" r:id="rId2"/>
    <sheet name="Sheet2" sheetId="2" r:id="rId3"/>
    <sheet name="Sheet3" sheetId="3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60" i="5" l="1"/>
  <c r="D9" i="5"/>
  <c r="F9" i="5"/>
  <c r="F160" i="5"/>
  <c r="A9" i="5"/>
  <c r="A160" i="5"/>
  <c r="A171" i="5"/>
  <c r="A182" i="5"/>
  <c r="D160" i="5"/>
  <c r="D171" i="5"/>
  <c r="D174" i="5"/>
  <c r="I171" i="5"/>
  <c r="I174" i="5"/>
  <c r="D179" i="5"/>
  <c r="F171" i="5"/>
  <c r="I3" i="5"/>
  <c r="I48" i="4"/>
  <c r="I59" i="4"/>
  <c r="I62" i="4"/>
  <c r="D48" i="4"/>
  <c r="D59" i="4"/>
  <c r="D62" i="4"/>
  <c r="D67" i="4"/>
  <c r="F9" i="4"/>
  <c r="F48" i="4"/>
  <c r="A9" i="4"/>
  <c r="A48" i="4"/>
  <c r="F59" i="4"/>
  <c r="A59" i="4"/>
  <c r="A70" i="4"/>
  <c r="I3" i="4"/>
</calcChain>
</file>

<file path=xl/sharedStrings.xml><?xml version="1.0" encoding="utf-8"?>
<sst xmlns="http://schemas.openxmlformats.org/spreadsheetml/2006/main" count="437" uniqueCount="215">
  <si>
    <t>DATE</t>
  </si>
  <si>
    <t>REF.</t>
  </si>
  <si>
    <t>NARRATION</t>
  </si>
  <si>
    <t>BAL. AS PER CASH BOOK</t>
  </si>
  <si>
    <t>BAL. AS PER BANK STATEMENT</t>
  </si>
  <si>
    <t>THEY CR. WE DO NOT DR.</t>
  </si>
  <si>
    <t>WE DR. THEY DO NOT CR.</t>
  </si>
  <si>
    <t>SUB TOTAL</t>
  </si>
  <si>
    <t>WE CR THEY DO NOT DR.</t>
  </si>
  <si>
    <t>THEY DR WE DO NOT CR.</t>
  </si>
  <si>
    <t>TOTAL</t>
  </si>
  <si>
    <t>REVIEWED BY:</t>
  </si>
  <si>
    <t xml:space="preserve">DATE: </t>
  </si>
  <si>
    <t>DATE:</t>
  </si>
  <si>
    <t xml:space="preserve">PREPARED BY: </t>
  </si>
  <si>
    <t>PRINT DATE</t>
  </si>
  <si>
    <t>AMOUNT GH¢</t>
  </si>
  <si>
    <t>AS AT :</t>
  </si>
  <si>
    <t>11.10.2013</t>
  </si>
  <si>
    <t>BISMARCK ESSEL-AMOAH</t>
  </si>
  <si>
    <t>18.06.2013</t>
  </si>
  <si>
    <t>AHUBLEY NESAH</t>
  </si>
  <si>
    <t>08.07.2014</t>
  </si>
  <si>
    <t>VAN DEREK ASHLEY &amp; EVELYN ASHLEY</t>
  </si>
  <si>
    <t>31.07.2014</t>
  </si>
  <si>
    <t>JAMES ADDAI ITF NANA KWAME/KYEREMAH MAAME</t>
  </si>
  <si>
    <t>20.06.2014</t>
  </si>
  <si>
    <t>SNMINA ISSAH ITF JIBRIL IDUN</t>
  </si>
  <si>
    <t>02.04.2014</t>
  </si>
  <si>
    <t>HANNAH NTONIWAH ASANTE</t>
  </si>
  <si>
    <t>02.12.2013</t>
  </si>
  <si>
    <t>GODWIN YAO MAHUNU</t>
  </si>
  <si>
    <t>04.12.2013</t>
  </si>
  <si>
    <t>SILLAS DENTEH</t>
  </si>
  <si>
    <t>11.12.2013</t>
  </si>
  <si>
    <t>MARIAM ALAAIN ITF MOHAMMED ITF ANDANI UMOBO</t>
  </si>
  <si>
    <t>07.11.2013</t>
  </si>
  <si>
    <t>GIFTY OBENG-DOI</t>
  </si>
  <si>
    <t>02.10.2013</t>
  </si>
  <si>
    <t>EGBERT ISAAC FAIBILLE JNR</t>
  </si>
  <si>
    <t>10.10.2013</t>
  </si>
  <si>
    <t>CAL ASSET MANAGEMENT/TULLOW GHANA STAFF PF</t>
  </si>
  <si>
    <t>GLORIA DEBRAH</t>
  </si>
  <si>
    <t>16.10.2013</t>
  </si>
  <si>
    <t>HELLEN DRAVIE</t>
  </si>
  <si>
    <t>17.10.2013</t>
  </si>
  <si>
    <t>JAMES SAAKWA-MANTE</t>
  </si>
  <si>
    <t>27.09.2013</t>
  </si>
  <si>
    <t>FRANCIS KUMAH ITF ELSIE OHEMA-SIKA KUMAH</t>
  </si>
  <si>
    <t>FRANCIS KUMAH ITF JOEL ACHEAMPONG KUMAH</t>
  </si>
  <si>
    <t>05.08.2013</t>
  </si>
  <si>
    <t>RICHARD KAFUI AYIIH</t>
  </si>
  <si>
    <t>06.08.2013</t>
  </si>
  <si>
    <t>LYDIA AVORGAH</t>
  </si>
  <si>
    <t>15.08.2013</t>
  </si>
  <si>
    <t>23.08.2013</t>
  </si>
  <si>
    <t>MARK DAVIS AGGREY ITF EMMANUEL PAINTIL</t>
  </si>
  <si>
    <t>30.08.2013</t>
  </si>
  <si>
    <t>SARAH BOTCHWAY</t>
  </si>
  <si>
    <t>11.07.2013</t>
  </si>
  <si>
    <t>ENOCH OFOSU-APPIAH</t>
  </si>
  <si>
    <t>23.07.2013</t>
  </si>
  <si>
    <t>ESTHER AMANKWAH ITF FAUSTINA BOATEMAH ADOMAKO</t>
  </si>
  <si>
    <t>11.06.2013</t>
  </si>
  <si>
    <t>MICHAEL KOJO AWOTWI</t>
  </si>
  <si>
    <t>26.04.2013</t>
  </si>
  <si>
    <t>NESAH AHUBLEY</t>
  </si>
  <si>
    <t>05.03.2013</t>
  </si>
  <si>
    <t>EKOW ITF SOLOMON ARHINFUL</t>
  </si>
  <si>
    <t>07.02.2013</t>
  </si>
  <si>
    <t>ANTHONY NUKUNU</t>
  </si>
  <si>
    <t>04.07.2014</t>
  </si>
  <si>
    <t>STANCHART HIGH-110104</t>
  </si>
  <si>
    <t>30.07.2014</t>
  </si>
  <si>
    <t>NAFIA MINTAH</t>
  </si>
  <si>
    <t>02.06.2014</t>
  </si>
  <si>
    <t>EVANS AMOAKO ITF NANA Y. N. AMOAKO</t>
  </si>
  <si>
    <t>03.06.2014</t>
  </si>
  <si>
    <t xml:space="preserve"> </t>
  </si>
  <si>
    <t>DAVID KWAME BADU/NICANOR YAW KANI BADU</t>
  </si>
  <si>
    <t>17.06.2014</t>
  </si>
  <si>
    <t>ISMAILA ARYEE</t>
  </si>
  <si>
    <t>30.05.2014</t>
  </si>
  <si>
    <t>HFC REIT REDEMPTION-Gloria Debrah</t>
  </si>
  <si>
    <t>HFC UT REDEMPTION</t>
  </si>
  <si>
    <t>`</t>
  </si>
  <si>
    <t>01-Aug-2014</t>
  </si>
  <si>
    <t>04-Aug-2014</t>
  </si>
  <si>
    <t>05-Aug-2014</t>
  </si>
  <si>
    <t>06-Aug-2014</t>
  </si>
  <si>
    <t>07-Aug-2014</t>
  </si>
  <si>
    <t>08-Aug-2014</t>
  </si>
  <si>
    <t>11-Aug-2014</t>
  </si>
  <si>
    <t>12-Aug-2014</t>
  </si>
  <si>
    <t>13-Aug-2014</t>
  </si>
  <si>
    <t>14-Aug-2014</t>
  </si>
  <si>
    <t>15-Aug-2014</t>
  </si>
  <si>
    <t>18-Aug-2014</t>
  </si>
  <si>
    <t>19-Aug-2014</t>
  </si>
  <si>
    <t>20-Aug-2014</t>
  </si>
  <si>
    <t>21-Aug-2014</t>
  </si>
  <si>
    <t>22-Aug-2014</t>
  </si>
  <si>
    <t>25-Aug-2014</t>
  </si>
  <si>
    <t>26-Aug-2014</t>
  </si>
  <si>
    <t>27-Aug-2014</t>
  </si>
  <si>
    <t>28-Aug-2014</t>
  </si>
  <si>
    <t>29-Aug-2014</t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</si>
  <si>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VAN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DEREK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ASHLEY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&amp;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EVELYN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ASHLEY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</si>
  <si>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FRANCIS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KWAME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OWUSU</t>
    </r>
  </si>
  <si>
    <r>
      <t>EDWARD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TAKYI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</si>
  <si>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RICHARD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AYIKPAH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AKOFA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AWURA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AMA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AYIKPAH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</si>
  <si>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FELIX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MORIAH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AWINDAOGO</t>
    </r>
  </si>
  <si>
    <r>
      <t>ANGELA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TETTEH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NARTEY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</si>
  <si>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AGBEKO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JUSTICE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ASHIAGBOR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</si>
  <si>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CHARLES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SEGBEDZIE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PONGO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SESINAM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SEGBEDZIE-PONGO</t>
    </r>
  </si>
  <si>
    <r>
      <t>HFC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ISL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PROVISIONS</t>
    </r>
  </si>
  <si>
    <r>
      <t>MAWULI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AMANORTEY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HONU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SEDINAM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KWESI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GBEDASI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&amp;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ELINAM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KOFI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HONU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</si>
  <si>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JOSHUA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TEKPETEY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NARTEY</t>
    </r>
  </si>
  <si>
    <r>
      <t>NELSON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OWUSU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ISABELLA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ADWOA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OWUSU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YEBOAH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</si>
  <si>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GERALD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QUANSAH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**STAFF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</si>
  <si>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GODWIN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MAWULI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MENSAH</t>
    </r>
  </si>
  <si>
    <r>
      <t>NAOMI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CUDJOE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EMPRESS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AKUA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ASANTE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</si>
  <si>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DIVINE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AKABA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NUNYUIE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</si>
  <si>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DIVINE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AKABA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NUKUNU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</si>
  <si>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DIVINE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AKABA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NUTEFE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</si>
  <si>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EMMANUEL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DONKOR-SAKYI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SAMUEL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&amp;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EMMANUEL
DONKOR-SAKYI</t>
    </r>
  </si>
  <si>
    <r>
      <t>MS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NAFISA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MINTAH</t>
    </r>
  </si>
  <si>
    <r>
      <t>GIFTY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OBENG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-DOI</t>
    </r>
  </si>
  <si>
    <r>
      <t>IDDRISU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ABDUL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MAJEED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KHANITA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TIMTOONI***LIEN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A/C***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</si>
  <si>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PHILIP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NUTSI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</si>
  <si>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JOSHUA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NARTEY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OLOGO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</si>
  <si>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VIVIAN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YOMEKPE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PHRONESIS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JOJO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YANNEY</t>
    </r>
  </si>
  <si>
    <r>
      <t>EMMANUEL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NII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LANTE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LAMPTEY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MARQUISE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LAMPTEY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</si>
  <si>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WILLIAM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BAFFOUR-KYEI</t>
    </r>
  </si>
  <si>
    <r>
      <t>MABEL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AMARTEIFIO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AUDREY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THOMPSON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</si>
  <si>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DANIEL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WILSON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TETTEY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</si>
  <si>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EMMANUEL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AKWASI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OBOUR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KWABENA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OBOUR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</si>
  <si>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CHARLES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NII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AYIKU</t>
    </r>
  </si>
  <si>
    <r>
      <t>YAHAYA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MUMUNI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MOHAMMED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MUDESEI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</si>
  <si>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ALBERT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ODARTEY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LAMPTEY**BOX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18998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</si>
  <si>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YVONNE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BOATEMAA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-YEBOAH</t>
    </r>
  </si>
  <si>
    <r>
      <t>EVANS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AMOAKO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NYIRABA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</si>
  <si>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DAVID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KWAME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BADU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NICANER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YAW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KANI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BADU</t>
    </r>
  </si>
  <si>
    <r>
      <t>MS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GIFTY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DEDE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ADJOVU</t>
    </r>
  </si>
  <si>
    <r>
      <t>KWAKU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AKUA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FRANCISCA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GYIMAH</t>
    </r>
  </si>
  <si>
    <r>
      <t>OSCAR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ADENA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</si>
  <si>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PAUL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ANGME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</si>
  <si>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BERNARD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KOFI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ASAFO-DUHO</t>
    </r>
  </si>
  <si>
    <r>
      <t>ESTHER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AMANKWAH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FAUSTINA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BOATEMAH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ADOMAKO</t>
    </r>
  </si>
  <si>
    <r>
      <t>MS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WENDALINE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OTOO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</si>
  <si>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BARBARA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NYARKOA
ATTOH-OWOO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JESSICA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BAABA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ATTOH-OWOO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</si>
  <si>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BARBARA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NYARKOA
ATTOH-OWOO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ANDREW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PAPA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BANSON</t>
    </r>
  </si>
  <si>
    <r>
      <t>MS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AKOSUA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BRONI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OPPONG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</si>
  <si>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ERIC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BOATENG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&amp;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DOCIA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G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KRAMPAH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</si>
  <si>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FRANK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KWAMINA
ATTOH-OWOO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JEFFERY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KWEKU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ATTOH-OWOO</t>
    </r>
  </si>
  <si>
    <r>
      <t>NKETSIAH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JOSEPH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SALOME</t>
    </r>
  </si>
  <si>
    <r>
      <t>NKETSIAH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JOSEPH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JOCHEBED</t>
    </r>
  </si>
  <si>
    <r>
      <t>NKETSIAH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JOSEPH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EDWARD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</si>
  <si>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SAMUEL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OSEI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BONSU***STAFF***</t>
    </r>
  </si>
  <si>
    <r>
      <t>SANDRA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ADAAKWA</t>
    </r>
  </si>
  <si>
    <r>
      <t>KWAKU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YAW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ASAMOAH-DUAH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</si>
  <si>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CLEMENT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AMOAKO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ISABELLA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AMOAKO</t>
    </r>
  </si>
  <si>
    <r>
      <t>PRISCILLA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E.P.FYNN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AMAZING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N.D.QUAYE</t>
    </r>
  </si>
  <si>
    <r>
      <t>SALIFU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OSUMANU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IBRAHIM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ABDUL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FANAN</t>
    </r>
  </si>
  <si>
    <r>
      <t>SALIFU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OSUMANU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IBRAHIM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ABDUL-KHATAMI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IBRAHIM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</si>
  <si>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FRANK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ATTOH-OWOO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JEANNELL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NHYIRA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ATTOH-OWOO</t>
    </r>
  </si>
  <si>
    <r>
      <t>MS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JAMES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SAM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MENSAH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</si>
  <si>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PHILIP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ODURO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-AMOYAW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</si>
  <si>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PHILIP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STEPHEN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OKYEREH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ODURO-AMOYAW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</si>
  <si>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PHILIP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ABENA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OFORIWAAH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ODURO-AMOYAW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</si>
  <si>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STEPHEN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KWAME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DJOKPE***STAFF***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</si>
  <si>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PHILIP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ODURO-AMOYAW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JNR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</si>
  <si>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MARTHA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FYNN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-AIKINS</t>
    </r>
  </si>
  <si>
    <r>
      <t>ABLORDE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KWAKUTSE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SEFENU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</si>
  <si>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DANIEL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N.KPAKPO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DANIELLE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N.A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THOMPSON***STAFF***</t>
    </r>
  </si>
  <si>
    <r>
      <t>KWAKU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ASAMOAH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-DUAH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</si>
  <si>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JUDITH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BOADU***STAFF***</t>
    </r>
  </si>
  <si>
    <r>
      <t>PATIENCE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SCOTT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BULLEY</t>
    </r>
  </si>
  <si>
    <r>
      <t>KENNETH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TETTEH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MENSAH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</si>
  <si>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ASANTEWAA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OBAAYAA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ANTWI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ADOM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AHEMAA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ANTWI</t>
    </r>
  </si>
  <si>
    <r>
      <t>BENJAMIN/EDWARD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ACKAH
-NYAMIKE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</si>
  <si>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ASANTEWAA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OBAAYAA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ANTWI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ASEDA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KYEI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ANTWI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</si>
  <si>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ASANTEWAA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OBAAYAA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ANTWI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OHEMAA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NHYIRA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AFFAH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ANTWI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</si>
  <si>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EMMANUEL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ASUBONTENG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</si>
  <si>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SOPHIA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KAFUI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TEYE</t>
    </r>
  </si>
  <si>
    <r>
      <t>BRIGHT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GHARTEY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-TAGOE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</si>
  <si>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DORINDA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DARLEY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MENSAH</t>
    </r>
  </si>
  <si>
    <r>
      <t>JACOB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KWESI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MENSAH***STAFF***</t>
    </r>
  </si>
  <si>
    <r>
      <t>TANIESHKA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AFARIBEA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ABENA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NYAMEKYE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DILLYS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AGYEPONG</t>
    </r>
  </si>
  <si>
    <r>
      <t>ELVIS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AGYARE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-BOAKYE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</si>
  <si>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AUGUSTINA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ATIDIGA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ASEYE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SEKU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ALEXANDER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ELIKEM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&amp;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BENEDICTA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E.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SEKU</t>
    </r>
  </si>
  <si>
    <r>
      <t>ANDREW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CYRIL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PAPPOE</t>
    </r>
  </si>
  <si>
    <r>
      <t>ADELAIDE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NAA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OBOSHIE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ADJETEY</t>
    </r>
  </si>
  <si>
    <r>
      <t>ANASTASIA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BOAHEMAA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ADIEKOR</t>
    </r>
  </si>
  <si>
    <r>
      <t>ONESIMUS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BLANKSON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ANDREA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ESI</t>
    </r>
  </si>
  <si>
    <r>
      <t>ONESIMUS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BLANKSON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JEREMY</t>
    </r>
  </si>
  <si>
    <r>
      <t>ONESIMUS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BLANKSON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SAMUEL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</si>
  <si>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JAMES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ADDAI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KWAME/KYEREMAH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MAME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</si>
  <si>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FRANK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OPOKU-MINTA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</si>
  <si>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FRANCIS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KUMAH</t>
    </r>
  </si>
  <si>
    <r>
      <t>ADJOA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HELEN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DARKWA</t>
    </r>
  </si>
  <si>
    <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ANIMA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BAMPO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YOOFI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BAMPO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DES-BORDES</t>
    </r>
  </si>
  <si>
    <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ANIMA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BAMPO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AFUA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AMPA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DES-BORDES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</si>
  <si>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SAMUEL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KWAMI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ADDO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SETUTSI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ABRA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ADDO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</si>
  <si>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MICHAEL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OBED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SINAMAN</t>
    </r>
  </si>
  <si>
    <r>
      <t>EDEM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AKPENYO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MAWUENA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</si>
  <si>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LYDIA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DELETSU</t>
    </r>
  </si>
  <si>
    <r>
      <t>NANA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ANIMA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BAMPO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KWASI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DES-BORDES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</si>
  <si>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RUTH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KORKOR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EKAME</t>
    </r>
  </si>
  <si>
    <r>
      <t>CHRISTABEL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KUORKOR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KOTEY**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STAFF**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</si>
  <si>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ISAAC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NEE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COMMEY-TETTEH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OTOO</t>
    </r>
  </si>
  <si>
    <r>
      <t>AGNES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NYEMI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-TEI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ITF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TODAH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FRIMPOMAA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BERCHIE</t>
    </r>
  </si>
  <si>
    <r>
      <t>MR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PETER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TUSAH</t>
    </r>
  </si>
  <si>
    <r>
      <t>MS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DORCAS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ENNIN</t>
    </r>
  </si>
  <si>
    <r>
      <t>MRS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PATIENCE</t>
    </r>
    <r>
      <rPr>
        <sz val="12"/>
        <color rgb="FF800000"/>
        <rFont val="Times New Roman"/>
        <family val="1"/>
      </rPr>
      <t xml:space="preserve">  </t>
    </r>
    <r>
      <rPr>
        <sz val="12"/>
        <color rgb="FF800000"/>
        <rFont val="Arial"/>
        <family val="2"/>
      </rPr>
      <t>EWURA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ADWOA</t>
    </r>
    <r>
      <rPr>
        <sz val="12"/>
        <color rgb="FF800000"/>
        <rFont val="Times New Roman"/>
        <family val="1"/>
      </rPr>
      <t xml:space="preserve"> </t>
    </r>
    <r>
      <rPr>
        <sz val="12"/>
        <color rgb="FF800000"/>
        <rFont val="Arial"/>
        <family val="2"/>
      </rPr>
      <t>BENYARKU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</si>
</sst>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(* #,##0.00_);_(* \(#,##0.00\);_(* &quot;-&quot;??_);_(@_)"/>
    <numFmt numFmtId="165" formatCode="[$-409]d\-mmm\-yy;@"/>
    <numFmt numFmtId="166" formatCode="[$-F800]dddd\,\ mmmm\ dd\,\ yyyy"/>
    <numFmt numFmtId="167" formatCode="[$-409]d/mmm/yy;@"/>
    <numFmt numFmtId="168" formatCode="dd&quot; - &quot;mmm&quot; - &quot;yyyy"/>
    <numFmt numFmtId="169" formatCode="d/mmm/yy"/>
    <numFmt numFmtId="170" formatCode="0_);\(0\)"/>
    <numFmt numFmtId="171" formatCode="#,##0.00;[Red]#,##0.00"/>
    <numFmt numFmtId="172" formatCode="[$-409]m/d/yy\ h:mm\ AM/PM;@"/>
    <numFmt numFmtId="173" formatCode="mm/dd/yy;@"/>
  </numFmts>
  <fonts count="26" x14ac:knownFonts="1">
    <font>
      <sz val="10"/>
      <name val="Arial"/>
    </font>
    <font>
      <sz val="10"/>
      <name val="Arial"/>
    </font>
    <font>
      <b/>
      <sz val="10"/>
      <name val="Arial Narrow"/>
      <family val="2"/>
    </font>
    <font>
      <sz val="10"/>
      <name val="Arial Narrow"/>
      <family val="2"/>
    </font>
    <font>
      <u/>
      <sz val="10"/>
      <name val="Arial Narrow"/>
      <family val="2"/>
    </font>
    <font>
      <b/>
      <i/>
      <sz val="1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11"/>
      <color rgb="FFFF0000"/>
      <name val="Arial Narrow"/>
    </font>
    <font>
      <sz val="11"/>
      <name val="Arial Narrow"/>
    </font>
    <font>
      <sz val="11"/>
      <color indexed="8"/>
      <name val="Arial Narrow"/>
      <family val="2"/>
    </font>
    <font>
      <u/>
      <sz val="11"/>
      <name val="Arial Narrow"/>
      <family val="2"/>
    </font>
    <font>
      <sz val="11"/>
      <color theme="1"/>
      <name val="Comic Sans MS"/>
      <family val="4"/>
    </font>
    <font>
      <sz val="11"/>
      <name val="Comic Sans MS"/>
      <family val="4"/>
    </font>
    <font>
      <b/>
      <sz val="14"/>
      <color rgb="FFFF0000"/>
      <name val="Arial Narrow"/>
    </font>
    <font>
      <b/>
      <sz val="12"/>
      <name val="Arial Narrow"/>
    </font>
    <font>
      <b/>
      <sz val="14"/>
      <name val="Arial Narrow"/>
    </font>
    <font>
      <sz val="12"/>
      <name val="Arial Narrow"/>
    </font>
    <font>
      <sz val="12"/>
      <color indexed="8"/>
      <name val="Arial Narrow"/>
    </font>
    <font>
      <u/>
      <sz val="10"/>
      <color theme="10"/>
      <name val="Arial"/>
    </font>
    <font>
      <u/>
      <sz val="10"/>
      <color theme="11"/>
      <name val="Arial"/>
    </font>
    <font>
      <sz val="14"/>
      <name val="Arial Narrow"/>
    </font>
    <font>
      <sz val="12"/>
      <color rgb="FF800000"/>
      <name val="Arial"/>
      <family val="2"/>
    </font>
    <font>
      <sz val="12"/>
      <color rgb="FF800000"/>
      <name val="Times New Roman"/>
      <family val="1"/>
    </font>
    <font>
      <b/>
      <sz val="16"/>
      <color rgb="FFFF6600"/>
      <name val="Arial Narrow"/>
    </font>
    <font>
      <sz val="12"/>
      <color rgb="FF8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59">
    <xf numFmtId="0" fontId="0" fillId="0" borderId="0" xfId="0"/>
    <xf numFmtId="0" fontId="3" fillId="0" borderId="0" xfId="0" applyNumberFormat="1" applyFont="1" applyFill="1" applyBorder="1"/>
    <xf numFmtId="0" fontId="3" fillId="0" borderId="0" xfId="0" applyFont="1" applyFill="1" applyBorder="1"/>
    <xf numFmtId="4" fontId="3" fillId="0" borderId="0" xfId="0" applyNumberFormat="1" applyFont="1" applyFill="1" applyBorder="1"/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Fill="1"/>
    <xf numFmtId="165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166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>
      <alignment horizontal="left"/>
    </xf>
    <xf numFmtId="40" fontId="2" fillId="0" borderId="0" xfId="0" applyNumberFormat="1" applyFont="1" applyFill="1" applyBorder="1"/>
    <xf numFmtId="0" fontId="4" fillId="0" borderId="0" xfId="0" applyFont="1" applyFill="1" applyBorder="1" applyAlignment="1"/>
    <xf numFmtId="15" fontId="3" fillId="0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4" fontId="3" fillId="2" borderId="0" xfId="0" applyNumberFormat="1" applyFont="1" applyFill="1" applyBorder="1"/>
    <xf numFmtId="40" fontId="2" fillId="2" borderId="0" xfId="0" applyNumberFormat="1" applyFont="1" applyFill="1" applyBorder="1"/>
    <xf numFmtId="0" fontId="3" fillId="2" borderId="0" xfId="0" applyFont="1" applyFill="1"/>
    <xf numFmtId="0" fontId="3" fillId="0" borderId="2" xfId="0" applyNumberFormat="1" applyFont="1" applyFill="1" applyBorder="1"/>
    <xf numFmtId="0" fontId="3" fillId="0" borderId="2" xfId="0" applyFont="1" applyFill="1" applyBorder="1"/>
    <xf numFmtId="4" fontId="3" fillId="0" borderId="2" xfId="0" applyNumberFormat="1" applyFont="1" applyFill="1" applyBorder="1"/>
    <xf numFmtId="165" fontId="3" fillId="0" borderId="2" xfId="0" applyNumberFormat="1" applyFont="1" applyFill="1" applyBorder="1" applyAlignment="1">
      <alignment horizontal="center"/>
    </xf>
    <xf numFmtId="164" fontId="3" fillId="0" borderId="3" xfId="1" applyFont="1" applyFill="1" applyBorder="1"/>
    <xf numFmtId="164" fontId="3" fillId="0" borderId="5" xfId="1" applyFont="1" applyFill="1" applyBorder="1"/>
    <xf numFmtId="4" fontId="2" fillId="0" borderId="4" xfId="0" quotePrefix="1" applyNumberFormat="1" applyFont="1" applyFill="1" applyBorder="1" applyAlignment="1">
      <alignment horizontal="left"/>
    </xf>
    <xf numFmtId="15" fontId="2" fillId="0" borderId="4" xfId="0" applyNumberFormat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71" fontId="5" fillId="0" borderId="5" xfId="1" applyNumberFormat="1" applyFont="1" applyFill="1" applyBorder="1"/>
    <xf numFmtId="164" fontId="2" fillId="0" borderId="5" xfId="1" applyFont="1" applyFill="1" applyBorder="1"/>
    <xf numFmtId="15" fontId="3" fillId="0" borderId="4" xfId="0" applyNumberFormat="1" applyFont="1" applyFill="1" applyBorder="1" applyAlignment="1">
      <alignment horizontal="center"/>
    </xf>
    <xf numFmtId="0" fontId="3" fillId="0" borderId="6" xfId="0" applyFont="1" applyFill="1" applyBorder="1"/>
    <xf numFmtId="0" fontId="3" fillId="0" borderId="7" xfId="0" applyFont="1" applyFill="1" applyBorder="1"/>
    <xf numFmtId="0" fontId="3" fillId="2" borderId="7" xfId="0" applyFont="1" applyFill="1" applyBorder="1"/>
    <xf numFmtId="0" fontId="3" fillId="0" borderId="8" xfId="0" applyFont="1" applyFill="1" applyBorder="1"/>
    <xf numFmtId="4" fontId="7" fillId="0" borderId="1" xfId="0" applyNumberFormat="1" applyFont="1" applyFill="1" applyBorder="1" applyAlignment="1">
      <alignment horizontal="left"/>
    </xf>
    <xf numFmtId="15" fontId="6" fillId="0" borderId="4" xfId="0" applyNumberFormat="1" applyFont="1" applyFill="1" applyBorder="1" applyAlignment="1"/>
    <xf numFmtId="166" fontId="2" fillId="0" borderId="4" xfId="0" applyNumberFormat="1" applyFont="1" applyFill="1" applyBorder="1" applyAlignment="1">
      <alignment horizontal="right"/>
    </xf>
    <xf numFmtId="172" fontId="2" fillId="0" borderId="5" xfId="1" applyNumberFormat="1" applyFont="1" applyFill="1" applyBorder="1"/>
    <xf numFmtId="0" fontId="6" fillId="0" borderId="0" xfId="0" applyFont="1" applyFill="1" applyAlignment="1">
      <alignment horizontal="center"/>
    </xf>
    <xf numFmtId="0" fontId="9" fillId="0" borderId="0" xfId="0" applyFont="1" applyFill="1"/>
    <xf numFmtId="15" fontId="9" fillId="0" borderId="4" xfId="0" applyNumberFormat="1" applyFont="1" applyFill="1" applyBorder="1" applyAlignment="1">
      <alignment horizontal="center"/>
    </xf>
    <xf numFmtId="0" fontId="9" fillId="0" borderId="0" xfId="0" applyNumberFormat="1" applyFont="1" applyFill="1" applyBorder="1"/>
    <xf numFmtId="4" fontId="9" fillId="0" borderId="0" xfId="0" applyNumberFormat="1" applyFont="1" applyFill="1" applyBorder="1"/>
    <xf numFmtId="4" fontId="9" fillId="2" borderId="0" xfId="0" applyNumberFormat="1" applyFont="1" applyFill="1" applyBorder="1"/>
    <xf numFmtId="167" fontId="10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164" fontId="11" fillId="0" borderId="5" xfId="1" applyFont="1" applyFill="1" applyBorder="1" applyAlignment="1"/>
    <xf numFmtId="15" fontId="9" fillId="0" borderId="4" xfId="0" applyNumberFormat="1" applyFont="1" applyFill="1" applyBorder="1"/>
    <xf numFmtId="0" fontId="6" fillId="0" borderId="0" xfId="0" applyFont="1" applyFill="1" applyBorder="1" applyAlignment="1"/>
    <xf numFmtId="173" fontId="12" fillId="0" borderId="0" xfId="0" applyNumberFormat="1" applyFont="1"/>
    <xf numFmtId="0" fontId="12" fillId="0" borderId="0" xfId="0" applyFont="1"/>
    <xf numFmtId="0" fontId="13" fillId="0" borderId="0" xfId="2" applyFont="1" applyFill="1"/>
    <xf numFmtId="164" fontId="12" fillId="0" borderId="0" xfId="1" applyFont="1" applyFill="1"/>
    <xf numFmtId="173" fontId="13" fillId="0" borderId="0" xfId="0" applyNumberFormat="1" applyFont="1"/>
    <xf numFmtId="0" fontId="13" fillId="0" borderId="0" xfId="0" applyFont="1"/>
    <xf numFmtId="164" fontId="13" fillId="0" borderId="0" xfId="1" applyFont="1" applyFill="1"/>
    <xf numFmtId="0" fontId="10" fillId="0" borderId="0" xfId="0" applyFont="1" applyFill="1" applyAlignment="1">
      <alignment vertical="center"/>
    </xf>
    <xf numFmtId="165" fontId="9" fillId="0" borderId="4" xfId="0" applyNumberFormat="1" applyFont="1" applyFill="1" applyBorder="1" applyAlignment="1">
      <alignment horizontal="right"/>
    </xf>
    <xf numFmtId="0" fontId="9" fillId="0" borderId="0" xfId="0" applyFont="1" applyFill="1" applyBorder="1" applyAlignment="1"/>
    <xf numFmtId="165" fontId="10" fillId="0" borderId="4" xfId="0" applyNumberFormat="1" applyFont="1" applyFill="1" applyBorder="1" applyAlignment="1">
      <alignment horizontal="right" vertical="center"/>
    </xf>
    <xf numFmtId="39" fontId="9" fillId="0" borderId="0" xfId="1" applyNumberFormat="1" applyFont="1" applyFill="1" applyBorder="1"/>
    <xf numFmtId="39" fontId="9" fillId="2" borderId="0" xfId="1" applyNumberFormat="1" applyFont="1" applyFill="1" applyBorder="1"/>
    <xf numFmtId="14" fontId="9" fillId="0" borderId="0" xfId="0" applyNumberFormat="1" applyFont="1" applyFill="1" applyBorder="1"/>
    <xf numFmtId="4" fontId="9" fillId="0" borderId="0" xfId="0" applyNumberFormat="1" applyFont="1" applyFill="1" applyBorder="1" applyAlignment="1"/>
    <xf numFmtId="4" fontId="9" fillId="2" borderId="0" xfId="0" applyNumberFormat="1" applyFont="1" applyFill="1" applyBorder="1" applyAlignment="1"/>
    <xf numFmtId="0" fontId="9" fillId="0" borderId="5" xfId="0" applyFont="1" applyFill="1" applyBorder="1"/>
    <xf numFmtId="164" fontId="9" fillId="0" borderId="0" xfId="1" applyFont="1" applyFill="1" applyBorder="1"/>
    <xf numFmtId="164" fontId="9" fillId="2" borderId="0" xfId="1" applyFont="1" applyFill="1" applyBorder="1"/>
    <xf numFmtId="165" fontId="9" fillId="0" borderId="0" xfId="0" applyNumberFormat="1" applyFont="1" applyFill="1" applyBorder="1" applyAlignment="1">
      <alignment horizontal="center"/>
    </xf>
    <xf numFmtId="164" fontId="9" fillId="0" borderId="5" xfId="1" applyFont="1" applyFill="1" applyBorder="1"/>
    <xf numFmtId="0" fontId="6" fillId="0" borderId="0" xfId="0" applyNumberFormat="1" applyFont="1" applyFill="1" applyBorder="1"/>
    <xf numFmtId="40" fontId="8" fillId="0" borderId="0" xfId="1" applyNumberFormat="1" applyFont="1" applyFill="1" applyBorder="1"/>
    <xf numFmtId="40" fontId="6" fillId="2" borderId="0" xfId="1" applyNumberFormat="1" applyFont="1" applyFill="1" applyBorder="1"/>
    <xf numFmtId="15" fontId="6" fillId="0" borderId="0" xfId="0" applyNumberFormat="1" applyFont="1" applyFill="1" applyBorder="1"/>
    <xf numFmtId="171" fontId="8" fillId="0" borderId="5" xfId="1" applyNumberFormat="1" applyFont="1" applyFill="1" applyBorder="1"/>
    <xf numFmtId="0" fontId="9" fillId="0" borderId="0" xfId="0" applyFont="1" applyFill="1" applyBorder="1" applyAlignment="1">
      <alignment horizontal="center"/>
    </xf>
    <xf numFmtId="0" fontId="9" fillId="0" borderId="0" xfId="0" applyNumberFormat="1" applyFont="1" applyFill="1" applyBorder="1" applyAlignment="1"/>
    <xf numFmtId="39" fontId="9" fillId="0" borderId="5" xfId="1" applyNumberFormat="1" applyFont="1" applyFill="1" applyBorder="1" applyAlignment="1"/>
    <xf numFmtId="39" fontId="9" fillId="0" borderId="5" xfId="1" applyNumberFormat="1" applyFont="1" applyFill="1" applyBorder="1"/>
    <xf numFmtId="0" fontId="9" fillId="0" borderId="0" xfId="0" applyFont="1" applyFill="1" applyBorder="1" applyAlignment="1">
      <alignment horizontal="left"/>
    </xf>
    <xf numFmtId="168" fontId="10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vertical="center"/>
    </xf>
    <xf numFmtId="14" fontId="12" fillId="0" borderId="0" xfId="0" applyNumberFormat="1" applyFont="1"/>
    <xf numFmtId="165" fontId="9" fillId="0" borderId="0" xfId="0" applyNumberFormat="1" applyFont="1" applyFill="1" applyBorder="1"/>
    <xf numFmtId="165" fontId="9" fillId="0" borderId="0" xfId="0" applyNumberFormat="1" applyFont="1" applyFill="1" applyBorder="1" applyAlignment="1">
      <alignment horizontal="right" vertical="center"/>
    </xf>
    <xf numFmtId="169" fontId="9" fillId="0" borderId="4" xfId="1" applyNumberFormat="1" applyFont="1" applyFill="1" applyBorder="1" applyAlignment="1">
      <alignment horizontal="center"/>
    </xf>
    <xf numFmtId="170" fontId="9" fillId="0" borderId="0" xfId="1" applyNumberFormat="1" applyFont="1" applyFill="1" applyBorder="1" applyAlignment="1">
      <alignment horizontal="right"/>
    </xf>
    <xf numFmtId="4" fontId="9" fillId="0" borderId="0" xfId="1" applyNumberFormat="1" applyFont="1" applyFill="1" applyBorder="1"/>
    <xf numFmtId="4" fontId="9" fillId="2" borderId="0" xfId="1" applyNumberFormat="1" applyFont="1" applyFill="1" applyBorder="1"/>
    <xf numFmtId="15" fontId="9" fillId="0" borderId="0" xfId="0" applyNumberFormat="1" applyFont="1" applyFill="1" applyBorder="1"/>
    <xf numFmtId="4" fontId="8" fillId="0" borderId="0" xfId="0" applyNumberFormat="1" applyFont="1" applyFill="1" applyBorder="1"/>
    <xf numFmtId="39" fontId="8" fillId="0" borderId="5" xfId="1" applyNumberFormat="1" applyFont="1" applyFill="1" applyBorder="1"/>
    <xf numFmtId="0" fontId="9" fillId="2" borderId="0" xfId="0" applyFont="1" applyFill="1" applyBorder="1"/>
    <xf numFmtId="0" fontId="9" fillId="0" borderId="4" xfId="0" applyFont="1" applyFill="1" applyBorder="1"/>
    <xf numFmtId="0" fontId="6" fillId="0" borderId="0" xfId="0" applyFont="1" applyFill="1" applyBorder="1"/>
    <xf numFmtId="4" fontId="6" fillId="2" borderId="0" xfId="0" applyNumberFormat="1" applyFont="1" applyFill="1" applyBorder="1"/>
    <xf numFmtId="4" fontId="6" fillId="0" borderId="0" xfId="1" applyNumberFormat="1" applyFont="1" applyFill="1" applyBorder="1" applyAlignment="1">
      <alignment horizontal="center"/>
    </xf>
    <xf numFmtId="4" fontId="6" fillId="2" borderId="0" xfId="1" applyNumberFormat="1" applyFont="1" applyFill="1" applyBorder="1" applyAlignment="1">
      <alignment horizontal="center"/>
    </xf>
    <xf numFmtId="164" fontId="6" fillId="0" borderId="5" xfId="1" applyFont="1" applyFill="1" applyBorder="1"/>
    <xf numFmtId="171" fontId="6" fillId="0" borderId="0" xfId="1" applyNumberFormat="1" applyFont="1" applyFill="1" applyBorder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15" fontId="9" fillId="0" borderId="0" xfId="0" applyNumberFormat="1" applyFont="1" applyFill="1" applyBorder="1" applyAlignment="1">
      <alignment horizontal="center"/>
    </xf>
    <xf numFmtId="15" fontId="9" fillId="2" borderId="0" xfId="0" applyNumberFormat="1" applyFont="1" applyFill="1" applyBorder="1" applyAlignment="1">
      <alignment horizontal="center"/>
    </xf>
    <xf numFmtId="16" fontId="9" fillId="0" borderId="0" xfId="0" applyNumberFormat="1" applyFont="1" applyFill="1" applyBorder="1"/>
    <xf numFmtId="15" fontId="9" fillId="0" borderId="5" xfId="0" applyNumberFormat="1" applyFont="1" applyFill="1" applyBorder="1" applyAlignment="1">
      <alignment horizontal="center"/>
    </xf>
    <xf numFmtId="40" fontId="14" fillId="0" borderId="0" xfId="0" applyNumberFormat="1" applyFont="1" applyFill="1" applyBorder="1"/>
    <xf numFmtId="0" fontId="3" fillId="3" borderId="4" xfId="0" applyFont="1" applyFill="1" applyBorder="1"/>
    <xf numFmtId="0" fontId="3" fillId="3" borderId="0" xfId="0" applyNumberFormat="1" applyFont="1" applyFill="1" applyBorder="1"/>
    <xf numFmtId="0" fontId="3" fillId="3" borderId="0" xfId="0" applyFont="1" applyFill="1" applyBorder="1"/>
    <xf numFmtId="4" fontId="2" fillId="3" borderId="0" xfId="0" applyNumberFormat="1" applyFont="1" applyFill="1" applyBorder="1"/>
    <xf numFmtId="165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/>
    <xf numFmtId="164" fontId="3" fillId="3" borderId="5" xfId="1" applyFont="1" applyFill="1" applyBorder="1"/>
    <xf numFmtId="4" fontId="3" fillId="4" borderId="0" xfId="0" applyNumberFormat="1" applyFont="1" applyFill="1" applyBorder="1"/>
    <xf numFmtId="4" fontId="2" fillId="4" borderId="0" xfId="0" applyNumberFormat="1" applyFont="1" applyFill="1" applyBorder="1"/>
    <xf numFmtId="164" fontId="2" fillId="4" borderId="0" xfId="1" applyFont="1" applyFill="1" applyBorder="1" applyAlignment="1">
      <alignment horizontal="center"/>
    </xf>
    <xf numFmtId="15" fontId="14" fillId="3" borderId="4" xfId="0" applyNumberFormat="1" applyFont="1" applyFill="1" applyBorder="1" applyAlignment="1">
      <alignment horizontal="center"/>
    </xf>
    <xf numFmtId="0" fontId="14" fillId="3" borderId="0" xfId="0" applyNumberFormat="1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164" fontId="14" fillId="3" borderId="0" xfId="1" applyFont="1" applyFill="1" applyBorder="1" applyAlignment="1">
      <alignment horizontal="center"/>
    </xf>
    <xf numFmtId="164" fontId="16" fillId="4" borderId="0" xfId="1" applyFont="1" applyFill="1" applyBorder="1" applyAlignment="1">
      <alignment horizontal="center"/>
    </xf>
    <xf numFmtId="0" fontId="15" fillId="3" borderId="0" xfId="0" applyFont="1" applyFill="1" applyBorder="1" applyAlignment="1"/>
    <xf numFmtId="4" fontId="17" fillId="0" borderId="0" xfId="0" applyNumberFormat="1" applyFont="1" applyFill="1" applyBorder="1"/>
    <xf numFmtId="4" fontId="17" fillId="2" borderId="0" xfId="0" applyNumberFormat="1" applyFont="1" applyFill="1" applyBorder="1"/>
    <xf numFmtId="167" fontId="18" fillId="0" borderId="0" xfId="0" applyNumberFormat="1" applyFont="1" applyFill="1" applyBorder="1" applyAlignment="1">
      <alignment horizontal="right" vertical="center"/>
    </xf>
    <xf numFmtId="0" fontId="17" fillId="0" borderId="0" xfId="0" applyFont="1" applyFill="1" applyBorder="1"/>
    <xf numFmtId="164" fontId="0" fillId="0" borderId="0" xfId="1" applyFont="1"/>
    <xf numFmtId="164" fontId="0" fillId="0" borderId="0" xfId="0" applyNumberFormat="1"/>
    <xf numFmtId="164" fontId="12" fillId="0" borderId="0" xfId="0" applyNumberFormat="1" applyFont="1"/>
    <xf numFmtId="164" fontId="10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horizontal="right"/>
    </xf>
    <xf numFmtId="172" fontId="6" fillId="0" borderId="5" xfId="1" applyNumberFormat="1" applyFont="1" applyFill="1" applyBorder="1"/>
    <xf numFmtId="15" fontId="21" fillId="0" borderId="4" xfId="0" applyNumberFormat="1" applyFont="1" applyFill="1" applyBorder="1" applyAlignment="1">
      <alignment horizontal="center"/>
    </xf>
    <xf numFmtId="0" fontId="21" fillId="0" borderId="0" xfId="0" applyNumberFormat="1" applyFont="1" applyFill="1" applyBorder="1"/>
    <xf numFmtId="0" fontId="16" fillId="3" borderId="0" xfId="0" applyFont="1" applyFill="1" applyBorder="1" applyAlignment="1"/>
    <xf numFmtId="4" fontId="21" fillId="0" borderId="0" xfId="0" applyNumberFormat="1" applyFont="1" applyFill="1" applyBorder="1"/>
    <xf numFmtId="4" fontId="21" fillId="2" borderId="0" xfId="0" applyNumberFormat="1" applyFont="1" applyFill="1" applyBorder="1"/>
    <xf numFmtId="165" fontId="21" fillId="0" borderId="0" xfId="0" applyNumberFormat="1" applyFont="1" applyFill="1" applyBorder="1" applyAlignment="1">
      <alignment horizontal="center"/>
    </xf>
    <xf numFmtId="0" fontId="21" fillId="0" borderId="0" xfId="0" applyFont="1" applyFill="1" applyBorder="1"/>
    <xf numFmtId="39" fontId="21" fillId="0" borderId="5" xfId="1" applyNumberFormat="1" applyFont="1" applyFill="1" applyBorder="1"/>
    <xf numFmtId="0" fontId="21" fillId="0" borderId="0" xfId="0" applyFont="1" applyFill="1"/>
    <xf numFmtId="0" fontId="17" fillId="0" borderId="0" xfId="0" quotePrefix="1" applyFont="1" applyFill="1" applyBorder="1" applyAlignment="1">
      <alignment horizontal="left"/>
    </xf>
    <xf numFmtId="0" fontId="22" fillId="0" borderId="0" xfId="0" applyFont="1" applyBorder="1" applyAlignment="1">
      <alignment horizontal="left" vertical="top"/>
    </xf>
    <xf numFmtId="0" fontId="25" fillId="0" borderId="0" xfId="0" applyFont="1" applyFill="1"/>
    <xf numFmtId="164" fontId="22" fillId="0" borderId="0" xfId="1" applyFont="1" applyBorder="1" applyAlignment="1">
      <alignment horizontal="right" vertical="top"/>
    </xf>
    <xf numFmtId="4" fontId="22" fillId="0" borderId="0" xfId="1" applyNumberFormat="1" applyFont="1" applyBorder="1" applyAlignment="1">
      <alignment horizontal="right" vertical="top"/>
    </xf>
    <xf numFmtId="0" fontId="22" fillId="0" borderId="0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/>
    </xf>
    <xf numFmtId="164" fontId="22" fillId="0" borderId="9" xfId="1" applyFont="1" applyBorder="1" applyAlignment="1">
      <alignment horizontal="right" vertical="top"/>
    </xf>
    <xf numFmtId="0" fontId="22" fillId="0" borderId="9" xfId="0" applyFont="1" applyBorder="1" applyAlignment="1">
      <alignment horizontal="left" vertical="top" wrapText="1"/>
    </xf>
    <xf numFmtId="164" fontId="22" fillId="0" borderId="10" xfId="1" applyFont="1" applyBorder="1" applyAlignment="1">
      <alignment horizontal="right" vertical="top"/>
    </xf>
    <xf numFmtId="0" fontId="2" fillId="0" borderId="4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4" fontId="21" fillId="3" borderId="0" xfId="0" applyNumberFormat="1" applyFont="1" applyFill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4" fontId="24" fillId="3" borderId="0" xfId="0" applyNumberFormat="1" applyFont="1" applyFill="1" applyBorder="1" applyAlignment="1">
      <alignment horizontal="center"/>
    </xf>
  </cellXfs>
  <cellStyles count="15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</xdr:rowOff>
    </xdr:from>
    <xdr:to>
      <xdr:col>4</xdr:col>
      <xdr:colOff>0</xdr:colOff>
      <xdr:row>2</xdr:row>
      <xdr:rowOff>0</xdr:rowOff>
    </xdr:to>
    <xdr:sp macro="" textlink="">
      <xdr:nvSpPr>
        <xdr:cNvPr id="2" name="Rectangle 1"/>
        <xdr:cNvSpPr/>
      </xdr:nvSpPr>
      <xdr:spPr>
        <a:xfrm>
          <a:off x="0" y="19049"/>
          <a:ext cx="4381500" cy="447676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latin typeface="Sylfaen" pitchFamily="18" charset="0"/>
            </a:rPr>
            <a:t>HFC INVESTMENTS</a:t>
          </a:r>
        </a:p>
        <a:p>
          <a:pPr algn="ctr"/>
          <a:r>
            <a:rPr lang="en-US" sz="1100" b="1">
              <a:latin typeface="Sylfaen" pitchFamily="18" charset="0"/>
            </a:rPr>
            <a:t>BANK  RECONCILIATION  STATEMENT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</xdr:rowOff>
    </xdr:from>
    <xdr:to>
      <xdr:col>4</xdr:col>
      <xdr:colOff>0</xdr:colOff>
      <xdr:row>2</xdr:row>
      <xdr:rowOff>0</xdr:rowOff>
    </xdr:to>
    <xdr:sp macro="" textlink="">
      <xdr:nvSpPr>
        <xdr:cNvPr id="2" name="Rectangle 1"/>
        <xdr:cNvSpPr/>
      </xdr:nvSpPr>
      <xdr:spPr>
        <a:xfrm>
          <a:off x="0" y="19049"/>
          <a:ext cx="7467600" cy="38735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>
              <a:latin typeface="Sylfaen" pitchFamily="18" charset="0"/>
            </a:rPr>
            <a:t>HFC INVESTMENTS</a:t>
          </a:r>
        </a:p>
        <a:p>
          <a:pPr algn="ctr"/>
          <a:r>
            <a:rPr lang="en-US" sz="1100" b="1">
              <a:latin typeface="Sylfaen" pitchFamily="18" charset="0"/>
            </a:rPr>
            <a:t>BANK  RECONCILIATION  STATEMENT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  <pageSetUpPr fitToPage="1"/>
  </sheetPr>
  <dimension ref="A1:K74"/>
  <sheetViews>
    <sheetView workbookViewId="0">
      <selection activeCell="D67" sqref="D67:F67"/>
    </sheetView>
  </sheetViews>
  <sheetFormatPr baseColWidth="10" defaultColWidth="8.83203125" defaultRowHeight="12" x14ac:dyDescent="0"/>
  <cols>
    <col min="1" max="1" width="12.5" style="5" customWidth="1"/>
    <col min="2" max="2" width="18" style="5" customWidth="1"/>
    <col min="3" max="3" width="39.33203125" style="5" customWidth="1"/>
    <col min="4" max="4" width="28.1640625" style="5" customWidth="1"/>
    <col min="5" max="5" width="0.33203125" style="20" customWidth="1"/>
    <col min="6" max="6" width="15.5" style="5" bestFit="1" customWidth="1"/>
    <col min="7" max="7" width="12.33203125" style="5" customWidth="1"/>
    <col min="8" max="8" width="42.33203125" style="5" customWidth="1"/>
    <col min="9" max="9" width="16" style="5" customWidth="1"/>
    <col min="10" max="10" width="8.6640625" style="5" bestFit="1" customWidth="1"/>
    <col min="11" max="12" width="8.83203125" style="5"/>
    <col min="13" max="13" width="9.33203125" style="5" bestFit="1" customWidth="1"/>
    <col min="14" max="16384" width="8.83203125" style="5"/>
  </cols>
  <sheetData>
    <row r="1" spans="1:10" ht="19">
      <c r="A1" s="37"/>
      <c r="B1" s="21"/>
      <c r="C1" s="22"/>
      <c r="D1" s="23"/>
      <c r="E1" s="23"/>
      <c r="F1" s="24"/>
      <c r="G1" s="22"/>
      <c r="H1" s="22"/>
      <c r="I1" s="25"/>
    </row>
    <row r="2" spans="1:10" ht="13">
      <c r="A2" s="38"/>
      <c r="B2" s="1"/>
      <c r="C2" s="2"/>
      <c r="D2" s="3"/>
      <c r="E2" s="3"/>
      <c r="F2" s="4"/>
      <c r="G2" s="2"/>
      <c r="H2" s="2"/>
      <c r="I2" s="26"/>
    </row>
    <row r="3" spans="1:10">
      <c r="A3" s="154"/>
      <c r="B3" s="155"/>
      <c r="C3" s="155"/>
      <c r="D3" s="3"/>
      <c r="E3" s="3"/>
      <c r="F3" s="6"/>
      <c r="G3" s="7"/>
      <c r="H3" s="17" t="s">
        <v>15</v>
      </c>
      <c r="I3" s="40">
        <f ca="1">NOW()</f>
        <v>42119.788759606483</v>
      </c>
    </row>
    <row r="4" spans="1:10">
      <c r="B4" s="39" t="s">
        <v>17</v>
      </c>
      <c r="C4" s="8">
        <v>41894</v>
      </c>
      <c r="E4" s="116"/>
      <c r="F4" s="6"/>
      <c r="G4" s="7"/>
      <c r="H4" s="2"/>
      <c r="I4" s="26"/>
    </row>
    <row r="5" spans="1:10">
      <c r="A5" s="27"/>
      <c r="B5" s="1"/>
      <c r="C5" s="3"/>
      <c r="D5" s="3"/>
      <c r="E5" s="116"/>
      <c r="F5" s="6"/>
      <c r="G5" s="7"/>
      <c r="H5" s="2"/>
      <c r="I5" s="26"/>
    </row>
    <row r="6" spans="1:10" ht="3" customHeight="1">
      <c r="A6" s="109"/>
      <c r="B6" s="110"/>
      <c r="C6" s="111"/>
      <c r="D6" s="112"/>
      <c r="E6" s="117"/>
      <c r="F6" s="113"/>
      <c r="G6" s="114"/>
      <c r="H6" s="111"/>
      <c r="I6" s="115"/>
    </row>
    <row r="7" spans="1:10" s="42" customFormat="1" ht="17">
      <c r="A7" s="119" t="s">
        <v>0</v>
      </c>
      <c r="B7" s="120" t="s">
        <v>1</v>
      </c>
      <c r="C7" s="121" t="s">
        <v>2</v>
      </c>
      <c r="D7" s="122" t="s">
        <v>16</v>
      </c>
      <c r="E7" s="123"/>
      <c r="F7" s="119" t="s">
        <v>0</v>
      </c>
      <c r="G7" s="120" t="s">
        <v>1</v>
      </c>
      <c r="H7" s="121" t="s">
        <v>2</v>
      </c>
      <c r="I7" s="122" t="s">
        <v>16</v>
      </c>
      <c r="J7" s="41"/>
    </row>
    <row r="8" spans="1:10">
      <c r="A8" s="28"/>
      <c r="B8" s="9"/>
      <c r="C8" s="10"/>
      <c r="D8" s="11"/>
      <c r="E8" s="118"/>
      <c r="F8" s="12"/>
      <c r="G8" s="10"/>
      <c r="H8" s="10"/>
      <c r="I8" s="29"/>
    </row>
    <row r="9" spans="1:10" ht="17">
      <c r="A9" s="28">
        <f>C4</f>
        <v>41894</v>
      </c>
      <c r="B9" s="1"/>
      <c r="C9" s="144" t="s">
        <v>3</v>
      </c>
      <c r="D9" s="108">
        <v>41956.67</v>
      </c>
      <c r="E9" s="19"/>
      <c r="F9" s="12">
        <f>C4</f>
        <v>41894</v>
      </c>
      <c r="G9" s="2"/>
      <c r="H9" s="128" t="s">
        <v>4</v>
      </c>
      <c r="I9" s="108">
        <v>27727.72</v>
      </c>
    </row>
    <row r="10" spans="1:10">
      <c r="A10" s="28"/>
      <c r="B10" s="1"/>
      <c r="C10" s="13"/>
      <c r="D10" s="14"/>
      <c r="E10" s="19"/>
      <c r="F10" s="12"/>
      <c r="G10" s="2"/>
      <c r="H10" s="2"/>
      <c r="I10" s="30"/>
    </row>
    <row r="11" spans="1:10">
      <c r="A11" s="28"/>
      <c r="B11" s="1"/>
      <c r="C11" s="13"/>
      <c r="D11" s="14"/>
      <c r="E11" s="19"/>
      <c r="F11" s="12"/>
      <c r="G11" s="2"/>
      <c r="H11" s="2"/>
      <c r="I11" s="31"/>
    </row>
    <row r="12" spans="1:10">
      <c r="A12" s="32"/>
      <c r="B12" s="1"/>
      <c r="C12" s="15"/>
      <c r="D12" s="3"/>
      <c r="E12" s="18"/>
      <c r="F12" s="4"/>
      <c r="G12" s="16"/>
      <c r="H12" s="2"/>
      <c r="I12" s="31"/>
    </row>
    <row r="13" spans="1:10" s="42" customFormat="1" ht="15">
      <c r="A13" s="43"/>
      <c r="B13" s="44"/>
      <c r="C13" s="124" t="s">
        <v>5</v>
      </c>
      <c r="D13" s="125"/>
      <c r="E13" s="126"/>
      <c r="F13" s="127"/>
      <c r="G13" s="128"/>
      <c r="H13" s="124" t="s">
        <v>6</v>
      </c>
      <c r="I13" s="49"/>
    </row>
    <row r="14" spans="1:10" s="42" customFormat="1" ht="13">
      <c r="A14" s="50"/>
      <c r="B14" s="44"/>
      <c r="C14" s="48"/>
      <c r="D14" s="45"/>
      <c r="E14" s="46"/>
      <c r="F14" s="47"/>
      <c r="G14" s="48"/>
      <c r="H14" s="51"/>
      <c r="I14" s="49"/>
    </row>
    <row r="15" spans="1:10" s="42" customFormat="1" ht="16">
      <c r="A15" s="50"/>
      <c r="B15" s="44"/>
      <c r="C15" s="48"/>
      <c r="D15" s="45"/>
      <c r="E15" s="46"/>
      <c r="F15" s="52" t="s">
        <v>22</v>
      </c>
      <c r="G15" s="53"/>
      <c r="H15" s="54" t="s">
        <v>23</v>
      </c>
      <c r="I15" s="55">
        <v>50</v>
      </c>
    </row>
    <row r="16" spans="1:10" s="42" customFormat="1" ht="16">
      <c r="A16" s="52" t="s">
        <v>71</v>
      </c>
      <c r="B16" s="53"/>
      <c r="C16" s="53" t="s">
        <v>72</v>
      </c>
      <c r="D16" s="55">
        <v>50</v>
      </c>
      <c r="E16" s="46"/>
      <c r="F16" s="52" t="s">
        <v>24</v>
      </c>
      <c r="G16" s="53"/>
      <c r="H16" s="54" t="s">
        <v>25</v>
      </c>
      <c r="I16" s="55">
        <v>317</v>
      </c>
    </row>
    <row r="17" spans="1:9" s="42" customFormat="1" ht="16">
      <c r="A17" s="52" t="s">
        <v>73</v>
      </c>
      <c r="B17" s="53"/>
      <c r="C17" s="53" t="s">
        <v>74</v>
      </c>
      <c r="D17" s="55">
        <v>50</v>
      </c>
      <c r="E17" s="46"/>
      <c r="F17" s="52" t="s">
        <v>26</v>
      </c>
      <c r="G17" s="53"/>
      <c r="H17" s="54" t="s">
        <v>27</v>
      </c>
      <c r="I17" s="55">
        <v>20</v>
      </c>
    </row>
    <row r="18" spans="1:9" s="42" customFormat="1" ht="16">
      <c r="A18" s="52" t="s">
        <v>75</v>
      </c>
      <c r="B18" s="53">
        <v>35283</v>
      </c>
      <c r="C18" s="53" t="s">
        <v>76</v>
      </c>
      <c r="D18" s="55">
        <v>25</v>
      </c>
      <c r="E18" s="46"/>
      <c r="F18" s="56" t="s">
        <v>28</v>
      </c>
      <c r="G18" s="57"/>
      <c r="H18" s="54" t="s">
        <v>29</v>
      </c>
      <c r="I18" s="58">
        <v>50</v>
      </c>
    </row>
    <row r="19" spans="1:9" s="42" customFormat="1" ht="16">
      <c r="A19" s="52" t="s">
        <v>77</v>
      </c>
      <c r="B19" s="53" t="s">
        <v>78</v>
      </c>
      <c r="C19" s="53" t="s">
        <v>79</v>
      </c>
      <c r="D19" s="55">
        <v>50</v>
      </c>
      <c r="E19" s="46"/>
      <c r="F19" s="52" t="s">
        <v>30</v>
      </c>
      <c r="G19" s="53"/>
      <c r="H19" s="54" t="s">
        <v>31</v>
      </c>
      <c r="I19" s="55">
        <v>400</v>
      </c>
    </row>
    <row r="20" spans="1:9" s="42" customFormat="1" ht="16">
      <c r="A20" s="52" t="s">
        <v>80</v>
      </c>
      <c r="B20" s="53">
        <v>32108</v>
      </c>
      <c r="C20" s="53" t="s">
        <v>81</v>
      </c>
      <c r="D20" s="55">
        <v>140</v>
      </c>
      <c r="E20" s="46"/>
      <c r="F20" s="52" t="s">
        <v>32</v>
      </c>
      <c r="G20" s="53"/>
      <c r="H20" s="54" t="s">
        <v>33</v>
      </c>
      <c r="I20" s="55">
        <v>100</v>
      </c>
    </row>
    <row r="21" spans="1:9" s="42" customFormat="1" ht="16">
      <c r="A21" s="52" t="s">
        <v>82</v>
      </c>
      <c r="B21" s="53">
        <v>500989</v>
      </c>
      <c r="C21" s="53" t="s">
        <v>83</v>
      </c>
      <c r="D21" s="55">
        <v>100</v>
      </c>
      <c r="E21" s="46"/>
      <c r="F21" s="52" t="s">
        <v>32</v>
      </c>
      <c r="G21" s="53"/>
      <c r="H21" s="54" t="s">
        <v>33</v>
      </c>
      <c r="I21" s="55">
        <v>100</v>
      </c>
    </row>
    <row r="22" spans="1:9" s="42" customFormat="1" ht="16">
      <c r="A22" s="52" t="s">
        <v>82</v>
      </c>
      <c r="B22" s="53">
        <v>503691</v>
      </c>
      <c r="C22" s="53" t="s">
        <v>84</v>
      </c>
      <c r="D22" s="55">
        <v>150</v>
      </c>
      <c r="E22" s="46"/>
      <c r="F22" s="52" t="s">
        <v>32</v>
      </c>
      <c r="G22" s="53"/>
      <c r="H22" s="54" t="s">
        <v>33</v>
      </c>
      <c r="I22" s="55">
        <v>9.8000000000000007</v>
      </c>
    </row>
    <row r="23" spans="1:9" s="42" customFormat="1" ht="16">
      <c r="A23" s="50"/>
      <c r="B23" s="44"/>
      <c r="C23" s="48"/>
      <c r="D23" s="45"/>
      <c r="E23" s="46"/>
      <c r="F23" s="52" t="s">
        <v>32</v>
      </c>
      <c r="G23" s="53"/>
      <c r="H23" s="54" t="s">
        <v>33</v>
      </c>
      <c r="I23" s="55">
        <v>9.58</v>
      </c>
    </row>
    <row r="24" spans="1:9" s="42" customFormat="1" ht="16">
      <c r="A24" s="50"/>
      <c r="B24" s="44"/>
      <c r="C24" s="48"/>
      <c r="D24" s="45"/>
      <c r="E24" s="46"/>
      <c r="F24" s="52" t="s">
        <v>34</v>
      </c>
      <c r="G24" s="53"/>
      <c r="H24" s="54" t="s">
        <v>35</v>
      </c>
      <c r="I24" s="55">
        <v>250</v>
      </c>
    </row>
    <row r="25" spans="1:9" s="42" customFormat="1" ht="16">
      <c r="A25" s="50"/>
      <c r="B25" s="44"/>
      <c r="C25" s="48"/>
      <c r="D25" s="45"/>
      <c r="E25" s="46"/>
      <c r="F25" s="52" t="s">
        <v>36</v>
      </c>
      <c r="G25" s="53"/>
      <c r="H25" s="54" t="s">
        <v>37</v>
      </c>
      <c r="I25" s="55">
        <v>50</v>
      </c>
    </row>
    <row r="26" spans="1:9" s="42" customFormat="1" ht="16">
      <c r="A26" s="50"/>
      <c r="B26" s="44"/>
      <c r="C26" s="48"/>
      <c r="D26" s="45"/>
      <c r="E26" s="46"/>
      <c r="F26" s="52" t="s">
        <v>38</v>
      </c>
      <c r="G26" s="53"/>
      <c r="H26" s="53" t="s">
        <v>39</v>
      </c>
      <c r="I26" s="55">
        <v>36.71</v>
      </c>
    </row>
    <row r="27" spans="1:9" s="42" customFormat="1" ht="16">
      <c r="A27" s="50"/>
      <c r="B27" s="44"/>
      <c r="C27" s="48"/>
      <c r="D27" s="45"/>
      <c r="E27" s="46"/>
      <c r="F27" s="52" t="s">
        <v>40</v>
      </c>
      <c r="G27" s="53"/>
      <c r="H27" s="53" t="s">
        <v>41</v>
      </c>
      <c r="I27" s="55">
        <v>1109.54</v>
      </c>
    </row>
    <row r="28" spans="1:9" s="42" customFormat="1" ht="16">
      <c r="A28" s="50"/>
      <c r="B28" s="44"/>
      <c r="C28" s="48"/>
      <c r="D28" s="45"/>
      <c r="E28" s="46"/>
      <c r="F28" s="52" t="s">
        <v>18</v>
      </c>
      <c r="G28" s="53"/>
      <c r="H28" s="53" t="s">
        <v>42</v>
      </c>
      <c r="I28" s="55">
        <v>200</v>
      </c>
    </row>
    <row r="29" spans="1:9" s="42" customFormat="1" ht="16">
      <c r="A29" s="50"/>
      <c r="B29" s="44"/>
      <c r="C29" s="48"/>
      <c r="D29" s="45"/>
      <c r="E29" s="46"/>
      <c r="F29" s="52" t="s">
        <v>43</v>
      </c>
      <c r="G29" s="53"/>
      <c r="H29" s="53" t="s">
        <v>44</v>
      </c>
      <c r="I29" s="55">
        <v>4000</v>
      </c>
    </row>
    <row r="30" spans="1:9" s="42" customFormat="1" ht="16">
      <c r="A30" s="50"/>
      <c r="B30" s="44"/>
      <c r="C30" s="48"/>
      <c r="D30" s="45"/>
      <c r="E30" s="46"/>
      <c r="F30" s="52" t="s">
        <v>45</v>
      </c>
      <c r="G30" s="53"/>
      <c r="H30" s="53" t="s">
        <v>46</v>
      </c>
      <c r="I30" s="55">
        <v>5000</v>
      </c>
    </row>
    <row r="31" spans="1:9" s="42" customFormat="1" ht="16">
      <c r="A31" s="50"/>
      <c r="B31" s="44"/>
      <c r="C31" s="48"/>
      <c r="D31" s="45"/>
      <c r="E31" s="46"/>
      <c r="F31" s="52" t="s">
        <v>47</v>
      </c>
      <c r="G31" s="53"/>
      <c r="H31" s="54" t="s">
        <v>48</v>
      </c>
      <c r="I31" s="55">
        <v>50</v>
      </c>
    </row>
    <row r="32" spans="1:9" s="42" customFormat="1" ht="16">
      <c r="A32" s="50"/>
      <c r="B32" s="44"/>
      <c r="C32" s="48"/>
      <c r="D32" s="45"/>
      <c r="E32" s="46"/>
      <c r="F32" s="52" t="s">
        <v>47</v>
      </c>
      <c r="G32" s="53"/>
      <c r="H32" s="54" t="s">
        <v>49</v>
      </c>
      <c r="I32" s="55">
        <v>50</v>
      </c>
    </row>
    <row r="33" spans="1:11" s="42" customFormat="1" ht="16">
      <c r="A33" s="50"/>
      <c r="B33" s="44"/>
      <c r="C33" s="48"/>
      <c r="D33" s="45"/>
      <c r="E33" s="46"/>
      <c r="F33" s="52" t="s">
        <v>50</v>
      </c>
      <c r="G33" s="53"/>
      <c r="H33" s="54" t="s">
        <v>51</v>
      </c>
      <c r="I33" s="55">
        <v>14.5</v>
      </c>
    </row>
    <row r="34" spans="1:11" s="42" customFormat="1" ht="16">
      <c r="A34" s="50"/>
      <c r="B34" s="44"/>
      <c r="C34" s="48"/>
      <c r="D34" s="45"/>
      <c r="E34" s="46"/>
      <c r="F34" s="52" t="s">
        <v>52</v>
      </c>
      <c r="G34" s="53"/>
      <c r="H34" s="54" t="s">
        <v>53</v>
      </c>
      <c r="I34" s="55">
        <v>800</v>
      </c>
    </row>
    <row r="35" spans="1:11" s="42" customFormat="1" ht="16">
      <c r="A35" s="50"/>
      <c r="B35" s="44"/>
      <c r="C35" s="48"/>
      <c r="D35" s="45"/>
      <c r="E35" s="46"/>
      <c r="F35" s="52" t="s">
        <v>52</v>
      </c>
      <c r="G35" s="53"/>
      <c r="H35" s="54" t="s">
        <v>53</v>
      </c>
      <c r="I35" s="55">
        <v>191.12</v>
      </c>
    </row>
    <row r="36" spans="1:11" s="42" customFormat="1" ht="16">
      <c r="A36" s="50"/>
      <c r="B36" s="44"/>
      <c r="C36" s="48"/>
      <c r="D36" s="45"/>
      <c r="E36" s="46"/>
      <c r="F36" s="52" t="s">
        <v>54</v>
      </c>
      <c r="G36" s="53"/>
      <c r="H36" s="54" t="s">
        <v>33</v>
      </c>
      <c r="I36" s="55">
        <v>100</v>
      </c>
    </row>
    <row r="37" spans="1:11" s="42" customFormat="1" ht="16">
      <c r="A37" s="50"/>
      <c r="B37" s="44"/>
      <c r="C37" s="48"/>
      <c r="D37" s="45"/>
      <c r="E37" s="46"/>
      <c r="F37" s="52" t="s">
        <v>55</v>
      </c>
      <c r="G37" s="53"/>
      <c r="H37" s="54" t="s">
        <v>56</v>
      </c>
      <c r="I37" s="55">
        <v>150</v>
      </c>
    </row>
    <row r="38" spans="1:11" s="42" customFormat="1" ht="16">
      <c r="A38" s="50"/>
      <c r="B38" s="44"/>
      <c r="C38" s="48"/>
      <c r="D38" s="45"/>
      <c r="E38" s="46"/>
      <c r="F38" s="52" t="s">
        <v>57</v>
      </c>
      <c r="G38" s="53"/>
      <c r="H38" s="54" t="s">
        <v>58</v>
      </c>
      <c r="I38" s="55">
        <v>300</v>
      </c>
    </row>
    <row r="39" spans="1:11" s="42" customFormat="1" ht="16">
      <c r="A39" s="50"/>
      <c r="B39" s="44"/>
      <c r="C39" s="48"/>
      <c r="D39" s="45"/>
      <c r="E39" s="46"/>
      <c r="F39" s="52" t="s">
        <v>59</v>
      </c>
      <c r="G39" s="53"/>
      <c r="H39" s="54" t="s">
        <v>60</v>
      </c>
      <c r="I39" s="55">
        <v>200</v>
      </c>
      <c r="J39" s="59"/>
    </row>
    <row r="40" spans="1:11" s="42" customFormat="1" ht="16">
      <c r="A40" s="50"/>
      <c r="B40" s="44"/>
      <c r="C40" s="48"/>
      <c r="D40" s="45"/>
      <c r="E40" s="46"/>
      <c r="F40" s="52" t="s">
        <v>61</v>
      </c>
      <c r="G40" s="53">
        <v>49626</v>
      </c>
      <c r="H40" s="54" t="s">
        <v>62</v>
      </c>
      <c r="I40" s="55">
        <v>100</v>
      </c>
      <c r="J40" s="59"/>
    </row>
    <row r="41" spans="1:11" s="42" customFormat="1" ht="16">
      <c r="A41" s="50"/>
      <c r="B41" s="44"/>
      <c r="C41" s="48"/>
      <c r="D41" s="45"/>
      <c r="E41" s="46"/>
      <c r="F41" s="52" t="s">
        <v>61</v>
      </c>
      <c r="G41" s="53">
        <v>49626</v>
      </c>
      <c r="H41" s="54" t="s">
        <v>62</v>
      </c>
      <c r="I41" s="55">
        <v>35.700000000000003</v>
      </c>
      <c r="J41" s="59"/>
    </row>
    <row r="42" spans="1:11" s="42" customFormat="1" ht="16">
      <c r="A42" s="50"/>
      <c r="B42" s="44"/>
      <c r="C42" s="48"/>
      <c r="D42" s="45"/>
      <c r="E42" s="46"/>
      <c r="F42" s="52" t="s">
        <v>63</v>
      </c>
      <c r="G42" s="53">
        <v>34280</v>
      </c>
      <c r="H42" s="54" t="s">
        <v>64</v>
      </c>
      <c r="I42" s="55">
        <v>400</v>
      </c>
      <c r="J42" s="59"/>
    </row>
    <row r="43" spans="1:11" s="42" customFormat="1" ht="16">
      <c r="A43" s="60"/>
      <c r="B43" s="44"/>
      <c r="C43" s="61"/>
      <c r="D43" s="45"/>
      <c r="E43" s="46"/>
      <c r="F43" s="52" t="s">
        <v>65</v>
      </c>
      <c r="G43" s="53">
        <v>34921</v>
      </c>
      <c r="H43" s="54" t="s">
        <v>66</v>
      </c>
      <c r="I43" s="55">
        <v>200</v>
      </c>
      <c r="J43" s="59"/>
    </row>
    <row r="44" spans="1:11" s="42" customFormat="1" ht="12" customHeight="1">
      <c r="A44" s="62"/>
      <c r="B44" s="44"/>
      <c r="C44" s="48"/>
      <c r="D44" s="63"/>
      <c r="E44" s="64"/>
      <c r="F44" s="52" t="s">
        <v>67</v>
      </c>
      <c r="G44" s="53">
        <v>36242</v>
      </c>
      <c r="H44" s="54" t="s">
        <v>68</v>
      </c>
      <c r="I44" s="55">
        <v>150</v>
      </c>
      <c r="J44" s="59"/>
      <c r="K44" s="65"/>
    </row>
    <row r="45" spans="1:11" s="42" customFormat="1" ht="16">
      <c r="A45" s="62"/>
      <c r="B45" s="44"/>
      <c r="C45" s="48"/>
      <c r="D45" s="66"/>
      <c r="E45" s="67"/>
      <c r="F45" s="52" t="s">
        <v>69</v>
      </c>
      <c r="G45" s="53">
        <v>43873</v>
      </c>
      <c r="H45" s="53" t="s">
        <v>70</v>
      </c>
      <c r="I45" s="55">
        <v>100</v>
      </c>
      <c r="J45" s="59"/>
    </row>
    <row r="46" spans="1:11" s="42" customFormat="1" ht="13">
      <c r="A46" s="62"/>
      <c r="B46" s="48"/>
      <c r="C46" s="48"/>
      <c r="D46" s="45"/>
      <c r="E46" s="46"/>
      <c r="F46" s="48"/>
      <c r="G46" s="48"/>
      <c r="H46" s="48"/>
      <c r="I46" s="68"/>
    </row>
    <row r="47" spans="1:11" s="42" customFormat="1" ht="13">
      <c r="A47" s="50"/>
      <c r="B47" s="48"/>
      <c r="C47" s="48"/>
      <c r="D47" s="69"/>
      <c r="E47" s="70"/>
      <c r="F47" s="71"/>
      <c r="G47" s="48"/>
      <c r="H47" s="48"/>
      <c r="I47" s="72"/>
    </row>
    <row r="48" spans="1:11" s="42" customFormat="1" ht="13">
      <c r="A48" s="43">
        <f>A9</f>
        <v>41894</v>
      </c>
      <c r="B48" s="73" t="s">
        <v>7</v>
      </c>
      <c r="C48" s="48"/>
      <c r="D48" s="74">
        <f>SUM(D14:D47)</f>
        <v>565</v>
      </c>
      <c r="E48" s="75"/>
      <c r="F48" s="71">
        <f>F9</f>
        <v>41894</v>
      </c>
      <c r="G48" s="76" t="s">
        <v>7</v>
      </c>
      <c r="H48" s="48"/>
      <c r="I48" s="77">
        <f>SUM(I14:I47)</f>
        <v>14543.950000000003</v>
      </c>
    </row>
    <row r="49" spans="1:10" s="42" customFormat="1" ht="13">
      <c r="A49" s="50"/>
      <c r="B49" s="48"/>
      <c r="C49" s="78"/>
      <c r="D49" s="45"/>
      <c r="E49" s="46"/>
      <c r="F49" s="71"/>
      <c r="G49" s="48"/>
      <c r="H49" s="79"/>
      <c r="I49" s="80"/>
    </row>
    <row r="50" spans="1:10" s="143" customFormat="1" ht="17">
      <c r="A50" s="135"/>
      <c r="B50" s="136"/>
      <c r="C50" s="137" t="s">
        <v>8</v>
      </c>
      <c r="D50" s="138"/>
      <c r="E50" s="139"/>
      <c r="F50" s="140"/>
      <c r="G50" s="141"/>
      <c r="H50" s="137" t="s">
        <v>9</v>
      </c>
      <c r="I50" s="142"/>
    </row>
    <row r="51" spans="1:10" s="42" customFormat="1" ht="13">
      <c r="A51" s="43"/>
      <c r="B51" s="44"/>
      <c r="C51" s="82"/>
      <c r="D51" s="45"/>
      <c r="E51" s="46"/>
      <c r="F51" s="83"/>
      <c r="G51" s="65"/>
      <c r="H51" s="48"/>
      <c r="I51" s="81"/>
    </row>
    <row r="52" spans="1:10" s="42" customFormat="1" ht="16">
      <c r="A52" s="43"/>
      <c r="B52" s="84"/>
      <c r="C52" s="84"/>
      <c r="D52" s="45"/>
      <c r="E52" s="46"/>
      <c r="F52" s="85" t="s">
        <v>18</v>
      </c>
      <c r="G52" s="53">
        <v>35125</v>
      </c>
      <c r="H52" s="54" t="s">
        <v>19</v>
      </c>
      <c r="I52" s="55">
        <v>150</v>
      </c>
    </row>
    <row r="53" spans="1:10" s="42" customFormat="1" ht="16">
      <c r="A53" s="43"/>
      <c r="B53" s="84"/>
      <c r="C53" s="84"/>
      <c r="D53" s="45"/>
      <c r="E53" s="46"/>
      <c r="F53" s="85" t="s">
        <v>20</v>
      </c>
      <c r="G53" s="53">
        <v>34921</v>
      </c>
      <c r="H53" s="54" t="s">
        <v>21</v>
      </c>
      <c r="I53" s="55">
        <v>100</v>
      </c>
    </row>
    <row r="54" spans="1:10" s="42" customFormat="1" ht="13">
      <c r="A54" s="43"/>
      <c r="B54" s="84"/>
      <c r="C54" s="84"/>
      <c r="D54" s="45"/>
      <c r="E54" s="46"/>
      <c r="F54" s="86"/>
      <c r="G54" s="48"/>
      <c r="H54" s="48"/>
      <c r="I54" s="72"/>
    </row>
    <row r="55" spans="1:10" s="42" customFormat="1" ht="13">
      <c r="A55" s="43"/>
      <c r="B55" s="44"/>
      <c r="C55" s="82"/>
      <c r="D55" s="45"/>
      <c r="E55" s="46"/>
      <c r="F55" s="87"/>
      <c r="G55" s="65"/>
      <c r="H55" s="48"/>
      <c r="I55" s="81"/>
    </row>
    <row r="56" spans="1:10" s="42" customFormat="1" ht="13">
      <c r="A56" s="43"/>
      <c r="B56" s="44"/>
      <c r="C56" s="82"/>
      <c r="D56" s="45"/>
      <c r="E56" s="46"/>
      <c r="F56" s="48"/>
      <c r="G56" s="48"/>
      <c r="H56" s="48"/>
      <c r="I56" s="68"/>
      <c r="J56" s="59"/>
    </row>
    <row r="57" spans="1:10" s="42" customFormat="1" ht="13">
      <c r="A57" s="88"/>
      <c r="B57" s="89"/>
      <c r="C57" s="82"/>
      <c r="D57" s="69"/>
      <c r="E57" s="70"/>
      <c r="F57" s="47"/>
      <c r="G57" s="65"/>
      <c r="H57" s="48"/>
      <c r="I57" s="81"/>
    </row>
    <row r="58" spans="1:10" s="42" customFormat="1" ht="13">
      <c r="A58" s="50"/>
      <c r="B58" s="48"/>
      <c r="C58" s="48"/>
      <c r="D58" s="90"/>
      <c r="E58" s="91"/>
      <c r="F58" s="71"/>
      <c r="G58" s="92"/>
      <c r="H58" s="48"/>
      <c r="I58" s="81"/>
    </row>
    <row r="59" spans="1:10" s="42" customFormat="1" ht="13">
      <c r="A59" s="43">
        <f>A48</f>
        <v>41894</v>
      </c>
      <c r="B59" s="76" t="s">
        <v>7</v>
      </c>
      <c r="C59" s="48"/>
      <c r="D59" s="93">
        <f>SUM(D51:D58)</f>
        <v>0</v>
      </c>
      <c r="E59" s="46"/>
      <c r="F59" s="71">
        <f>F48</f>
        <v>41894</v>
      </c>
      <c r="G59" s="76" t="s">
        <v>7</v>
      </c>
      <c r="H59" s="48"/>
      <c r="I59" s="94">
        <f>SUM(I51:I58)</f>
        <v>250</v>
      </c>
    </row>
    <row r="60" spans="1:10" s="42" customFormat="1" ht="13">
      <c r="A60" s="43"/>
      <c r="B60" s="48"/>
      <c r="C60" s="48"/>
      <c r="D60" s="48"/>
      <c r="E60" s="95"/>
      <c r="F60" s="71"/>
      <c r="G60" s="48"/>
      <c r="H60" s="48"/>
      <c r="I60" s="72"/>
    </row>
    <row r="61" spans="1:10" s="42" customFormat="1" ht="13">
      <c r="A61" s="96"/>
      <c r="B61" s="48"/>
      <c r="C61" s="48"/>
      <c r="D61" s="48"/>
      <c r="E61" s="95"/>
      <c r="F61" s="71"/>
      <c r="G61" s="48"/>
      <c r="H61" s="48"/>
      <c r="I61" s="72"/>
    </row>
    <row r="62" spans="1:10" s="42" customFormat="1" ht="13">
      <c r="A62" s="96"/>
      <c r="B62" s="48"/>
      <c r="C62" s="97" t="s">
        <v>10</v>
      </c>
      <c r="D62" s="93">
        <f>D9+D48+D59</f>
        <v>42521.67</v>
      </c>
      <c r="E62" s="98"/>
      <c r="F62" s="71"/>
      <c r="G62" s="48"/>
      <c r="H62" s="97" t="s">
        <v>10</v>
      </c>
      <c r="I62" s="77">
        <f>I9+I48+I59</f>
        <v>42521.670000000006</v>
      </c>
    </row>
    <row r="63" spans="1:10" s="42" customFormat="1" ht="13">
      <c r="A63" s="96"/>
      <c r="B63" s="48"/>
      <c r="C63" s="97"/>
      <c r="D63" s="99"/>
      <c r="E63" s="100"/>
      <c r="G63" s="48"/>
      <c r="H63" s="97"/>
      <c r="I63" s="101"/>
    </row>
    <row r="64" spans="1:10" s="42" customFormat="1" ht="13">
      <c r="A64" s="96"/>
      <c r="B64" s="48"/>
      <c r="C64" s="97"/>
      <c r="D64" s="48"/>
      <c r="E64" s="95"/>
      <c r="F64" s="48"/>
      <c r="G64" s="48"/>
      <c r="H64" s="97"/>
      <c r="I64" s="101"/>
    </row>
    <row r="65" spans="1:9" s="42" customFormat="1" ht="13">
      <c r="A65" s="50"/>
      <c r="B65" s="48"/>
      <c r="C65" s="48"/>
      <c r="D65" s="48"/>
      <c r="E65" s="95"/>
      <c r="F65" s="71"/>
      <c r="G65" s="48"/>
      <c r="H65" s="48"/>
      <c r="I65" s="72"/>
    </row>
    <row r="66" spans="1:9" s="42" customFormat="1" ht="13">
      <c r="A66" s="50"/>
      <c r="B66" s="48"/>
      <c r="C66" s="48"/>
      <c r="D66" s="48"/>
      <c r="E66" s="95"/>
      <c r="F66" s="102"/>
      <c r="G66" s="48"/>
      <c r="H66" s="48"/>
      <c r="I66" s="72"/>
    </row>
    <row r="67" spans="1:9" s="42" customFormat="1" ht="17">
      <c r="A67" s="50"/>
      <c r="B67" s="48"/>
      <c r="C67" s="48"/>
      <c r="D67" s="156">
        <f>D62-I62</f>
        <v>0</v>
      </c>
      <c r="E67" s="157"/>
      <c r="F67" s="157"/>
      <c r="G67" s="48"/>
      <c r="H67" s="48"/>
      <c r="I67" s="72"/>
    </row>
    <row r="68" spans="1:9" s="42" customFormat="1" ht="13">
      <c r="A68" s="50"/>
      <c r="B68" s="48"/>
      <c r="C68" s="48"/>
      <c r="D68" s="48"/>
      <c r="E68" s="95"/>
      <c r="F68" s="71"/>
      <c r="G68" s="48"/>
      <c r="H68" s="48"/>
      <c r="I68" s="72"/>
    </row>
    <row r="69" spans="1:9" s="42" customFormat="1" ht="13">
      <c r="A69" s="50"/>
      <c r="B69" s="48"/>
      <c r="C69" s="48"/>
      <c r="D69" s="48"/>
      <c r="E69" s="95"/>
      <c r="F69" s="71"/>
      <c r="G69" s="48"/>
      <c r="H69" s="48"/>
      <c r="I69" s="72"/>
    </row>
    <row r="70" spans="1:9" s="42" customFormat="1" ht="13">
      <c r="A70" s="50">
        <f>A59</f>
        <v>41894</v>
      </c>
      <c r="B70" s="44"/>
      <c r="C70" s="48" t="s">
        <v>14</v>
      </c>
      <c r="D70" s="45"/>
      <c r="E70" s="46"/>
      <c r="F70" s="71"/>
      <c r="G70" s="48"/>
      <c r="H70" s="48" t="s">
        <v>11</v>
      </c>
      <c r="I70" s="72"/>
    </row>
    <row r="71" spans="1:9" s="42" customFormat="1" ht="13">
      <c r="A71" s="50"/>
      <c r="B71" s="44"/>
      <c r="C71" s="48"/>
      <c r="D71" s="45"/>
      <c r="E71" s="46"/>
      <c r="F71" s="71"/>
      <c r="G71" s="48"/>
      <c r="H71" s="48"/>
      <c r="I71" s="72"/>
    </row>
    <row r="72" spans="1:9" s="42" customFormat="1" ht="13">
      <c r="A72" s="50"/>
      <c r="B72" s="44"/>
      <c r="C72" s="48"/>
      <c r="D72" s="45"/>
      <c r="E72" s="46"/>
      <c r="F72" s="103"/>
      <c r="G72" s="48"/>
      <c r="H72" s="48"/>
      <c r="I72" s="72"/>
    </row>
    <row r="73" spans="1:9" s="42" customFormat="1" ht="13">
      <c r="A73" s="50"/>
      <c r="B73" s="44"/>
      <c r="C73" s="48" t="s">
        <v>12</v>
      </c>
      <c r="D73" s="104"/>
      <c r="E73" s="105"/>
      <c r="F73" s="106"/>
      <c r="G73" s="48"/>
      <c r="H73" s="48" t="s">
        <v>13</v>
      </c>
      <c r="I73" s="107"/>
    </row>
    <row r="74" spans="1:9">
      <c r="A74" s="33"/>
      <c r="B74" s="34"/>
      <c r="C74" s="34"/>
      <c r="D74" s="34"/>
      <c r="E74" s="35"/>
      <c r="F74" s="34"/>
      <c r="G74" s="34"/>
      <c r="H74" s="34"/>
      <c r="I74" s="36"/>
    </row>
  </sheetData>
  <mergeCells count="2">
    <mergeCell ref="A3:C3"/>
    <mergeCell ref="D67:F67"/>
  </mergeCells>
  <pageMargins left="0.75" right="0.75" top="1" bottom="1" header="0.5" footer="0.5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  <pageSetUpPr fitToPage="1"/>
  </sheetPr>
  <dimension ref="A1:K186"/>
  <sheetViews>
    <sheetView tabSelected="1" topLeftCell="A135" workbookViewId="0">
      <pane ySplit="8400" topLeftCell="A177"/>
      <selection activeCell="A135" sqref="A1:XFD1048576"/>
      <selection pane="bottomLeft" activeCell="D179" sqref="D179:F179"/>
    </sheetView>
  </sheetViews>
  <sheetFormatPr baseColWidth="10" defaultColWidth="8.83203125" defaultRowHeight="12" x14ac:dyDescent="0"/>
  <cols>
    <col min="1" max="1" width="12.5" style="5" customWidth="1"/>
    <col min="2" max="2" width="18" style="5" customWidth="1"/>
    <col min="3" max="3" width="39.33203125" style="5" customWidth="1"/>
    <col min="4" max="4" width="28.1640625" style="5" customWidth="1"/>
    <col min="5" max="5" width="0.33203125" style="20" customWidth="1"/>
    <col min="6" max="6" width="15.5" style="5" bestFit="1" customWidth="1"/>
    <col min="7" max="7" width="12.33203125" style="5" customWidth="1"/>
    <col min="8" max="8" width="50.33203125" style="5" customWidth="1"/>
    <col min="9" max="9" width="16" style="5" customWidth="1"/>
    <col min="10" max="10" width="9" style="5" bestFit="1" customWidth="1"/>
    <col min="11" max="12" width="8.83203125" style="5"/>
    <col min="13" max="13" width="9.33203125" style="5" bestFit="1" customWidth="1"/>
    <col min="14" max="16384" width="8.83203125" style="5"/>
  </cols>
  <sheetData>
    <row r="1" spans="1:10" ht="19">
      <c r="A1" s="37"/>
      <c r="B1" s="21"/>
      <c r="C1" s="22"/>
      <c r="D1" s="23"/>
      <c r="E1" s="23"/>
      <c r="F1" s="24"/>
      <c r="G1" s="22"/>
      <c r="H1" s="22"/>
      <c r="I1" s="25"/>
    </row>
    <row r="2" spans="1:10" ht="13">
      <c r="A2" s="38"/>
      <c r="B2" s="1"/>
      <c r="C2" s="2"/>
      <c r="D2" s="3"/>
      <c r="E2" s="3"/>
      <c r="F2" s="4"/>
      <c r="G2" s="2"/>
      <c r="H2" s="2"/>
      <c r="I2" s="26"/>
    </row>
    <row r="3" spans="1:10" ht="13">
      <c r="A3" s="154"/>
      <c r="B3" s="155"/>
      <c r="C3" s="155"/>
      <c r="D3" s="3"/>
      <c r="E3" s="3"/>
      <c r="F3" s="6"/>
      <c r="G3" s="7"/>
      <c r="H3" s="133" t="s">
        <v>15</v>
      </c>
      <c r="I3" s="134">
        <f ca="1">NOW()</f>
        <v>42119.788759606483</v>
      </c>
    </row>
    <row r="4" spans="1:10" ht="13">
      <c r="B4" s="39" t="s">
        <v>17</v>
      </c>
      <c r="C4" s="8">
        <v>41894</v>
      </c>
      <c r="E4" s="116"/>
      <c r="F4" s="6"/>
      <c r="G4" s="7"/>
      <c r="H4" s="97"/>
      <c r="I4" s="101"/>
    </row>
    <row r="5" spans="1:10">
      <c r="A5" s="27"/>
      <c r="B5" s="1"/>
      <c r="C5" s="3"/>
      <c r="D5" s="3"/>
      <c r="E5" s="116"/>
      <c r="F5" s="6"/>
      <c r="G5" s="7"/>
      <c r="H5" s="2"/>
      <c r="I5" s="26"/>
    </row>
    <row r="6" spans="1:10" ht="3" customHeight="1">
      <c r="A6" s="109"/>
      <c r="B6" s="110"/>
      <c r="C6" s="111"/>
      <c r="D6" s="112"/>
      <c r="E6" s="117"/>
      <c r="F6" s="113"/>
      <c r="G6" s="114"/>
      <c r="H6" s="111"/>
      <c r="I6" s="115"/>
    </row>
    <row r="7" spans="1:10" s="42" customFormat="1" ht="17">
      <c r="A7" s="119" t="s">
        <v>0</v>
      </c>
      <c r="B7" s="120" t="s">
        <v>1</v>
      </c>
      <c r="C7" s="121" t="s">
        <v>2</v>
      </c>
      <c r="D7" s="122" t="s">
        <v>16</v>
      </c>
      <c r="E7" s="123"/>
      <c r="F7" s="119" t="s">
        <v>0</v>
      </c>
      <c r="G7" s="120" t="s">
        <v>1</v>
      </c>
      <c r="H7" s="121" t="s">
        <v>2</v>
      </c>
      <c r="I7" s="122" t="s">
        <v>16</v>
      </c>
      <c r="J7" s="41"/>
    </row>
    <row r="8" spans="1:10">
      <c r="A8" s="28"/>
      <c r="B8" s="9"/>
      <c r="C8" s="10"/>
      <c r="D8" s="11"/>
      <c r="E8" s="118"/>
      <c r="F8" s="12"/>
      <c r="G8" s="10"/>
      <c r="H8" s="10"/>
      <c r="I8" s="29"/>
    </row>
    <row r="9" spans="1:10" ht="17">
      <c r="A9" s="28">
        <f>C4</f>
        <v>41894</v>
      </c>
      <c r="B9" s="1"/>
      <c r="C9" s="13" t="s">
        <v>3</v>
      </c>
      <c r="D9" s="108">
        <f>41956.67+16038.79</f>
        <v>57995.46</v>
      </c>
      <c r="E9" s="19"/>
      <c r="F9" s="12">
        <f>C4</f>
        <v>41894</v>
      </c>
      <c r="G9" s="2"/>
      <c r="H9" s="2" t="s">
        <v>4</v>
      </c>
      <c r="I9" s="108">
        <v>28296.720000000001</v>
      </c>
    </row>
    <row r="10" spans="1:10">
      <c r="A10" s="28"/>
      <c r="B10" s="1"/>
      <c r="C10" s="13"/>
      <c r="D10" s="14"/>
      <c r="E10" s="19"/>
      <c r="F10" s="12"/>
      <c r="G10" s="2"/>
      <c r="H10" s="2"/>
      <c r="I10" s="30"/>
    </row>
    <row r="11" spans="1:10">
      <c r="A11" s="28"/>
      <c r="B11" s="1"/>
      <c r="C11" s="13"/>
      <c r="D11" s="14"/>
      <c r="E11" s="19"/>
      <c r="F11" s="12"/>
      <c r="G11" s="2"/>
      <c r="H11" s="2"/>
      <c r="I11" s="31"/>
    </row>
    <row r="12" spans="1:10">
      <c r="A12" s="32"/>
      <c r="B12" s="1"/>
      <c r="C12" s="15"/>
      <c r="D12" s="3"/>
      <c r="E12" s="18"/>
      <c r="F12" s="4"/>
      <c r="G12" s="16"/>
      <c r="H12" s="2"/>
      <c r="I12" s="31"/>
    </row>
    <row r="13" spans="1:10" s="42" customFormat="1" ht="15">
      <c r="A13" s="43"/>
      <c r="B13" s="44"/>
      <c r="C13" s="124" t="s">
        <v>5</v>
      </c>
      <c r="D13" s="125"/>
      <c r="E13" s="126"/>
      <c r="F13" s="127"/>
      <c r="G13" s="128"/>
      <c r="H13" s="124" t="s">
        <v>6</v>
      </c>
      <c r="I13" s="49"/>
    </row>
    <row r="14" spans="1:10" s="42" customFormat="1" ht="13">
      <c r="A14" s="50"/>
      <c r="B14" s="44"/>
      <c r="C14" s="48"/>
      <c r="D14" s="45"/>
      <c r="E14" s="46"/>
      <c r="F14" s="47"/>
      <c r="G14" s="48"/>
      <c r="H14" s="51"/>
      <c r="I14" s="49"/>
    </row>
    <row r="15" spans="1:10" s="42" customFormat="1" ht="16">
      <c r="A15" s="50"/>
      <c r="B15" s="44"/>
      <c r="C15" s="48"/>
      <c r="D15" s="45"/>
      <c r="E15" s="46"/>
      <c r="F15" s="52" t="s">
        <v>22</v>
      </c>
      <c r="G15" s="53"/>
      <c r="H15" s="54" t="s">
        <v>23</v>
      </c>
      <c r="I15" s="55">
        <v>50</v>
      </c>
    </row>
    <row r="16" spans="1:10" s="42" customFormat="1" ht="16">
      <c r="A16" s="52" t="s">
        <v>71</v>
      </c>
      <c r="B16" s="53"/>
      <c r="C16" s="53" t="s">
        <v>72</v>
      </c>
      <c r="D16" s="55">
        <v>50</v>
      </c>
      <c r="E16" s="46"/>
      <c r="F16" s="52" t="s">
        <v>24</v>
      </c>
      <c r="G16" s="53"/>
      <c r="H16" s="54" t="s">
        <v>25</v>
      </c>
      <c r="I16" s="55">
        <v>317</v>
      </c>
    </row>
    <row r="17" spans="1:9" s="42" customFormat="1" ht="16">
      <c r="A17" s="52" t="s">
        <v>73</v>
      </c>
      <c r="B17" s="53"/>
      <c r="C17" s="53" t="s">
        <v>74</v>
      </c>
      <c r="D17" s="55">
        <v>50</v>
      </c>
      <c r="E17" s="46"/>
      <c r="F17" s="52" t="s">
        <v>26</v>
      </c>
      <c r="G17" s="53"/>
      <c r="H17" s="54" t="s">
        <v>27</v>
      </c>
      <c r="I17" s="55">
        <v>20</v>
      </c>
    </row>
    <row r="18" spans="1:9" s="42" customFormat="1" ht="16">
      <c r="A18" s="52" t="s">
        <v>75</v>
      </c>
      <c r="B18" s="53">
        <v>35283</v>
      </c>
      <c r="C18" s="53" t="s">
        <v>76</v>
      </c>
      <c r="D18" s="55">
        <v>25</v>
      </c>
      <c r="E18" s="46"/>
      <c r="F18" s="56" t="s">
        <v>28</v>
      </c>
      <c r="G18" s="57"/>
      <c r="H18" s="54" t="s">
        <v>29</v>
      </c>
      <c r="I18" s="58">
        <v>50</v>
      </c>
    </row>
    <row r="19" spans="1:9" s="42" customFormat="1" ht="16">
      <c r="A19" s="52" t="s">
        <v>77</v>
      </c>
      <c r="B19" s="53" t="s">
        <v>78</v>
      </c>
      <c r="C19" s="53" t="s">
        <v>79</v>
      </c>
      <c r="D19" s="55">
        <v>50</v>
      </c>
      <c r="E19" s="46"/>
      <c r="F19" s="52" t="s">
        <v>30</v>
      </c>
      <c r="G19" s="53"/>
      <c r="H19" s="54" t="s">
        <v>31</v>
      </c>
      <c r="I19" s="55">
        <v>400</v>
      </c>
    </row>
    <row r="20" spans="1:9" s="42" customFormat="1" ht="16">
      <c r="A20" s="52" t="s">
        <v>80</v>
      </c>
      <c r="B20" s="53">
        <v>32108</v>
      </c>
      <c r="C20" s="53" t="s">
        <v>81</v>
      </c>
      <c r="D20" s="55">
        <v>140</v>
      </c>
      <c r="E20" s="46"/>
      <c r="F20" s="52" t="s">
        <v>32</v>
      </c>
      <c r="G20" s="53"/>
      <c r="H20" s="54" t="s">
        <v>33</v>
      </c>
      <c r="I20" s="55">
        <v>100</v>
      </c>
    </row>
    <row r="21" spans="1:9" s="42" customFormat="1" ht="16">
      <c r="A21" s="52" t="s">
        <v>82</v>
      </c>
      <c r="B21" s="53">
        <v>500989</v>
      </c>
      <c r="C21" s="53" t="s">
        <v>83</v>
      </c>
      <c r="D21" s="55">
        <v>100</v>
      </c>
      <c r="E21" s="46"/>
      <c r="F21" s="52" t="s">
        <v>32</v>
      </c>
      <c r="G21" s="53"/>
      <c r="H21" s="54" t="s">
        <v>33</v>
      </c>
      <c r="I21" s="55">
        <v>100</v>
      </c>
    </row>
    <row r="22" spans="1:9" s="42" customFormat="1" ht="16">
      <c r="A22" s="52" t="s">
        <v>82</v>
      </c>
      <c r="B22" s="53">
        <v>503691</v>
      </c>
      <c r="C22" s="53" t="s">
        <v>84</v>
      </c>
      <c r="D22" s="55">
        <v>150</v>
      </c>
      <c r="E22" s="46"/>
      <c r="F22" s="52" t="s">
        <v>32</v>
      </c>
      <c r="G22" s="53"/>
      <c r="H22" s="54" t="s">
        <v>33</v>
      </c>
      <c r="I22" s="55">
        <v>9.8000000000000007</v>
      </c>
    </row>
    <row r="23" spans="1:9" s="42" customFormat="1" ht="16">
      <c r="A23" s="50"/>
      <c r="B23" s="44"/>
      <c r="C23" s="50"/>
      <c r="D23" s="45"/>
      <c r="E23" s="46"/>
      <c r="F23" s="52" t="s">
        <v>32</v>
      </c>
      <c r="G23" s="53"/>
      <c r="H23" s="54" t="s">
        <v>33</v>
      </c>
      <c r="I23" s="55">
        <v>9.58</v>
      </c>
    </row>
    <row r="24" spans="1:9" s="42" customFormat="1" ht="16">
      <c r="B24" s="44"/>
      <c r="C24" s="48"/>
      <c r="D24" s="45"/>
      <c r="E24" s="46"/>
      <c r="F24" s="52" t="s">
        <v>34</v>
      </c>
      <c r="G24" s="53"/>
      <c r="H24" s="54" t="s">
        <v>35</v>
      </c>
      <c r="I24" s="55">
        <v>250</v>
      </c>
    </row>
    <row r="25" spans="1:9" s="42" customFormat="1" ht="16">
      <c r="A25" s="50"/>
      <c r="B25" s="44"/>
      <c r="C25" s="48"/>
      <c r="D25" s="45"/>
      <c r="E25" s="46"/>
      <c r="F25" s="52" t="s">
        <v>36</v>
      </c>
      <c r="G25" s="53"/>
      <c r="H25" s="54" t="s">
        <v>37</v>
      </c>
      <c r="I25" s="55">
        <v>50</v>
      </c>
    </row>
    <row r="26" spans="1:9" s="42" customFormat="1" ht="16">
      <c r="A26" s="50"/>
      <c r="B26" s="44"/>
      <c r="C26" s="48"/>
      <c r="D26" s="45"/>
      <c r="E26" s="46"/>
      <c r="F26" s="52" t="s">
        <v>38</v>
      </c>
      <c r="G26" s="53"/>
      <c r="H26" s="53" t="s">
        <v>39</v>
      </c>
      <c r="I26" s="55">
        <v>36.71</v>
      </c>
    </row>
    <row r="27" spans="1:9" s="42" customFormat="1" ht="16">
      <c r="A27" s="50"/>
      <c r="B27" s="44"/>
      <c r="C27" s="48"/>
      <c r="D27" s="45"/>
      <c r="E27" s="46"/>
      <c r="F27" s="52" t="s">
        <v>40</v>
      </c>
      <c r="G27" s="53"/>
      <c r="H27" s="53" t="s">
        <v>41</v>
      </c>
      <c r="I27" s="55">
        <v>1109.54</v>
      </c>
    </row>
    <row r="28" spans="1:9" s="42" customFormat="1" ht="16">
      <c r="A28" s="50"/>
      <c r="B28" s="44"/>
      <c r="C28" s="48"/>
      <c r="D28" s="45"/>
      <c r="E28" s="46"/>
      <c r="F28" s="52" t="s">
        <v>18</v>
      </c>
      <c r="G28" s="53"/>
      <c r="H28" s="53" t="s">
        <v>42</v>
      </c>
      <c r="I28" s="55">
        <v>200</v>
      </c>
    </row>
    <row r="29" spans="1:9" s="42" customFormat="1" ht="16">
      <c r="A29" s="50"/>
      <c r="B29" s="44"/>
      <c r="C29" s="48"/>
      <c r="D29" s="45"/>
      <c r="E29" s="46"/>
      <c r="F29" s="52" t="s">
        <v>43</v>
      </c>
      <c r="G29" s="53"/>
      <c r="H29" s="53" t="s">
        <v>44</v>
      </c>
      <c r="I29" s="55">
        <v>4000</v>
      </c>
    </row>
    <row r="30" spans="1:9" s="42" customFormat="1" ht="16">
      <c r="A30" s="50"/>
      <c r="B30" s="44"/>
      <c r="C30" s="48"/>
      <c r="D30" s="45"/>
      <c r="E30" s="46"/>
      <c r="F30" s="52" t="s">
        <v>45</v>
      </c>
      <c r="G30" s="53"/>
      <c r="H30" s="53" t="s">
        <v>46</v>
      </c>
      <c r="I30" s="55">
        <v>5000</v>
      </c>
    </row>
    <row r="31" spans="1:9" s="42" customFormat="1" ht="16">
      <c r="A31" s="50"/>
      <c r="B31" s="44"/>
      <c r="C31" s="48"/>
      <c r="D31" s="45"/>
      <c r="E31" s="46"/>
      <c r="F31" s="52" t="s">
        <v>47</v>
      </c>
      <c r="G31" s="53"/>
      <c r="H31" s="54" t="s">
        <v>48</v>
      </c>
      <c r="I31" s="55">
        <v>50</v>
      </c>
    </row>
    <row r="32" spans="1:9" s="42" customFormat="1" ht="16">
      <c r="A32" s="50"/>
      <c r="B32" s="44"/>
      <c r="C32" s="48"/>
      <c r="D32" s="45"/>
      <c r="E32" s="46"/>
      <c r="F32" s="52" t="s">
        <v>47</v>
      </c>
      <c r="G32" s="53"/>
      <c r="H32" s="54" t="s">
        <v>49</v>
      </c>
      <c r="I32" s="55">
        <v>50</v>
      </c>
    </row>
    <row r="33" spans="1:11" s="42" customFormat="1" ht="16">
      <c r="A33" s="50"/>
      <c r="B33" s="44"/>
      <c r="C33" s="48"/>
      <c r="D33" s="45"/>
      <c r="E33" s="46"/>
      <c r="F33" s="52" t="s">
        <v>50</v>
      </c>
      <c r="G33" s="53"/>
      <c r="H33" s="54" t="s">
        <v>51</v>
      </c>
      <c r="I33" s="55">
        <v>14.5</v>
      </c>
    </row>
    <row r="34" spans="1:11" s="42" customFormat="1" ht="16">
      <c r="A34" s="50"/>
      <c r="B34" s="44"/>
      <c r="C34" s="48"/>
      <c r="D34" s="45"/>
      <c r="E34" s="46"/>
      <c r="F34" s="52" t="s">
        <v>52</v>
      </c>
      <c r="G34" s="53"/>
      <c r="H34" s="54" t="s">
        <v>53</v>
      </c>
      <c r="I34" s="55">
        <v>800</v>
      </c>
    </row>
    <row r="35" spans="1:11" s="42" customFormat="1" ht="16">
      <c r="A35" s="50"/>
      <c r="B35" s="44"/>
      <c r="C35" s="48"/>
      <c r="D35" s="45"/>
      <c r="E35" s="46"/>
      <c r="F35" s="52" t="s">
        <v>52</v>
      </c>
      <c r="G35" s="53"/>
      <c r="H35" s="54" t="s">
        <v>53</v>
      </c>
      <c r="I35" s="55">
        <v>191.12</v>
      </c>
    </row>
    <row r="36" spans="1:11" s="42" customFormat="1" ht="16">
      <c r="A36" s="50"/>
      <c r="B36" s="44"/>
      <c r="C36" s="48"/>
      <c r="D36" s="45"/>
      <c r="E36" s="46"/>
      <c r="F36" s="52" t="s">
        <v>54</v>
      </c>
      <c r="G36" s="53"/>
      <c r="H36" s="54" t="s">
        <v>33</v>
      </c>
      <c r="I36" s="55">
        <v>100</v>
      </c>
    </row>
    <row r="37" spans="1:11" s="42" customFormat="1" ht="16">
      <c r="A37" s="50"/>
      <c r="B37" s="44"/>
      <c r="C37" s="48"/>
      <c r="D37" s="45"/>
      <c r="E37" s="46"/>
      <c r="F37" s="52" t="s">
        <v>55</v>
      </c>
      <c r="G37" s="53"/>
      <c r="H37" s="54" t="s">
        <v>56</v>
      </c>
      <c r="I37" s="55">
        <v>150</v>
      </c>
    </row>
    <row r="38" spans="1:11" s="42" customFormat="1" ht="16">
      <c r="A38" s="50"/>
      <c r="B38" s="44"/>
      <c r="C38" s="48"/>
      <c r="D38" s="45"/>
      <c r="E38" s="46"/>
      <c r="F38" s="52" t="s">
        <v>57</v>
      </c>
      <c r="G38" s="53"/>
      <c r="H38" s="54" t="s">
        <v>58</v>
      </c>
      <c r="I38" s="55">
        <v>300</v>
      </c>
    </row>
    <row r="39" spans="1:11" s="42" customFormat="1" ht="16">
      <c r="A39" s="50"/>
      <c r="B39" s="44"/>
      <c r="C39" s="48"/>
      <c r="D39" s="45"/>
      <c r="E39" s="46"/>
      <c r="F39" s="52" t="s">
        <v>59</v>
      </c>
      <c r="G39" s="53"/>
      <c r="H39" s="54" t="s">
        <v>60</v>
      </c>
      <c r="I39" s="55">
        <v>200</v>
      </c>
      <c r="J39" s="59"/>
    </row>
    <row r="40" spans="1:11" s="42" customFormat="1" ht="16">
      <c r="A40" s="50"/>
      <c r="B40" s="44"/>
      <c r="C40" s="48"/>
      <c r="D40" s="45"/>
      <c r="E40" s="46"/>
      <c r="F40" s="52" t="s">
        <v>61</v>
      </c>
      <c r="G40" s="53">
        <v>49626</v>
      </c>
      <c r="H40" s="54" t="s">
        <v>62</v>
      </c>
      <c r="I40" s="55">
        <v>100</v>
      </c>
      <c r="J40" s="59"/>
    </row>
    <row r="41" spans="1:11" s="42" customFormat="1" ht="16">
      <c r="A41" s="50"/>
      <c r="B41" s="44"/>
      <c r="C41" s="48"/>
      <c r="D41" s="45"/>
      <c r="E41" s="46"/>
      <c r="F41" s="52" t="s">
        <v>61</v>
      </c>
      <c r="G41" s="53">
        <v>49626</v>
      </c>
      <c r="H41" s="54" t="s">
        <v>62</v>
      </c>
      <c r="I41" s="55">
        <v>35.700000000000003</v>
      </c>
      <c r="J41" s="59"/>
    </row>
    <row r="42" spans="1:11" s="42" customFormat="1" ht="16">
      <c r="A42" s="50"/>
      <c r="B42" s="44"/>
      <c r="C42" s="48"/>
      <c r="D42" s="45"/>
      <c r="E42" s="46"/>
      <c r="F42" s="52" t="s">
        <v>63</v>
      </c>
      <c r="G42" s="53">
        <v>34280</v>
      </c>
      <c r="H42" s="54" t="s">
        <v>64</v>
      </c>
      <c r="I42" s="55">
        <v>400</v>
      </c>
      <c r="J42" s="59"/>
    </row>
    <row r="43" spans="1:11" s="42" customFormat="1" ht="16">
      <c r="A43" s="60"/>
      <c r="B43" s="44"/>
      <c r="C43" s="61"/>
      <c r="D43" s="45"/>
      <c r="E43" s="46"/>
      <c r="F43" s="52" t="s">
        <v>65</v>
      </c>
      <c r="G43" s="53">
        <v>34921</v>
      </c>
      <c r="H43" s="54" t="s">
        <v>66</v>
      </c>
      <c r="I43" s="55">
        <v>200</v>
      </c>
      <c r="J43" s="59"/>
    </row>
    <row r="44" spans="1:11" s="42" customFormat="1" ht="12" customHeight="1">
      <c r="A44" s="62"/>
      <c r="B44" s="44"/>
      <c r="C44" s="48"/>
      <c r="D44" s="63"/>
      <c r="E44" s="64"/>
      <c r="F44" s="52" t="s">
        <v>67</v>
      </c>
      <c r="G44" s="53">
        <v>36242</v>
      </c>
      <c r="H44" s="54" t="s">
        <v>68</v>
      </c>
      <c r="I44" s="55">
        <v>150</v>
      </c>
      <c r="J44" s="59"/>
      <c r="K44" s="65"/>
    </row>
    <row r="45" spans="1:11" s="42" customFormat="1" ht="16">
      <c r="A45" s="62"/>
      <c r="B45" s="44"/>
      <c r="C45" s="48"/>
      <c r="D45" s="66"/>
      <c r="E45" s="67"/>
      <c r="F45" s="52" t="s">
        <v>69</v>
      </c>
      <c r="G45" s="53">
        <v>43873</v>
      </c>
      <c r="H45" s="53" t="s">
        <v>70</v>
      </c>
      <c r="I45" s="55">
        <v>100</v>
      </c>
      <c r="J45" s="59"/>
    </row>
    <row r="46" spans="1:11" s="42" customFormat="1" ht="15">
      <c r="A46" s="62"/>
      <c r="B46" s="44"/>
      <c r="C46" s="48"/>
      <c r="D46" s="66"/>
      <c r="E46" s="67"/>
      <c r="F46" s="145" t="s">
        <v>86</v>
      </c>
      <c r="G46" s="146"/>
      <c r="H46" s="145" t="s">
        <v>108</v>
      </c>
      <c r="I46" s="147"/>
      <c r="J46" s="59"/>
    </row>
    <row r="47" spans="1:11" s="42" customFormat="1" ht="15">
      <c r="A47" s="62"/>
      <c r="B47" s="44"/>
      <c r="C47" s="48"/>
      <c r="D47" s="66"/>
      <c r="E47" s="67"/>
      <c r="F47" s="145" t="s">
        <v>87</v>
      </c>
      <c r="G47" s="146"/>
      <c r="H47" s="145" t="s">
        <v>109</v>
      </c>
      <c r="I47" s="147">
        <v>10</v>
      </c>
      <c r="J47" s="59"/>
    </row>
    <row r="48" spans="1:11" s="42" customFormat="1" ht="15">
      <c r="A48" s="62"/>
      <c r="B48" s="44"/>
      <c r="C48" s="48"/>
      <c r="D48" s="66"/>
      <c r="E48" s="67"/>
      <c r="F48" s="145" t="s">
        <v>87</v>
      </c>
      <c r="G48" s="146"/>
      <c r="H48" s="145" t="s">
        <v>110</v>
      </c>
      <c r="I48" s="147"/>
      <c r="J48" s="59"/>
    </row>
    <row r="49" spans="1:10" s="42" customFormat="1" ht="15">
      <c r="A49" s="62"/>
      <c r="B49" s="44"/>
      <c r="C49" s="48"/>
      <c r="D49" s="66"/>
      <c r="E49" s="67"/>
      <c r="F49" s="145" t="s">
        <v>87</v>
      </c>
      <c r="G49" s="146"/>
      <c r="H49" s="145" t="s">
        <v>111</v>
      </c>
      <c r="I49" s="147"/>
      <c r="J49" s="59"/>
    </row>
    <row r="50" spans="1:10" s="42" customFormat="1" ht="15">
      <c r="A50" s="62"/>
      <c r="B50" s="44"/>
      <c r="C50" s="48"/>
      <c r="D50" s="66"/>
      <c r="E50" s="67"/>
      <c r="F50" s="145" t="s">
        <v>87</v>
      </c>
      <c r="G50" s="146"/>
      <c r="H50" s="145" t="s">
        <v>107</v>
      </c>
      <c r="I50" s="147"/>
      <c r="J50" s="59"/>
    </row>
    <row r="51" spans="1:10" s="42" customFormat="1" ht="15">
      <c r="A51" s="62"/>
      <c r="B51" s="44"/>
      <c r="C51" s="48"/>
      <c r="D51" s="66"/>
      <c r="E51" s="67"/>
      <c r="F51" s="145" t="s">
        <v>87</v>
      </c>
      <c r="G51" s="146"/>
      <c r="H51" s="145" t="s">
        <v>112</v>
      </c>
      <c r="I51" s="147"/>
      <c r="J51" s="59"/>
    </row>
    <row r="52" spans="1:10" s="42" customFormat="1" ht="15">
      <c r="A52" s="62"/>
      <c r="B52" s="44"/>
      <c r="C52" s="48"/>
      <c r="D52" s="66"/>
      <c r="E52" s="67"/>
      <c r="F52" s="145" t="s">
        <v>87</v>
      </c>
      <c r="G52" s="146"/>
      <c r="H52" s="145" t="s">
        <v>113</v>
      </c>
      <c r="I52" s="147"/>
      <c r="J52" s="59"/>
    </row>
    <row r="53" spans="1:10" s="42" customFormat="1" ht="15">
      <c r="A53" s="62"/>
      <c r="B53" s="44"/>
      <c r="C53" s="48"/>
      <c r="D53" s="66"/>
      <c r="E53" s="67"/>
      <c r="F53" s="145" t="s">
        <v>87</v>
      </c>
      <c r="G53" s="146"/>
      <c r="H53" s="145" t="s">
        <v>114</v>
      </c>
      <c r="I53" s="148">
        <v>1000</v>
      </c>
      <c r="J53" s="59"/>
    </row>
    <row r="54" spans="1:10" s="42" customFormat="1" ht="15">
      <c r="A54" s="62"/>
      <c r="B54" s="44"/>
      <c r="C54" s="48"/>
      <c r="D54" s="66"/>
      <c r="E54" s="67"/>
      <c r="F54" s="145" t="s">
        <v>87</v>
      </c>
      <c r="G54" s="146"/>
      <c r="H54" s="145" t="s">
        <v>115</v>
      </c>
      <c r="I54" s="148">
        <v>2442.79</v>
      </c>
      <c r="J54" s="59"/>
    </row>
    <row r="55" spans="1:10" s="42" customFormat="1" ht="15">
      <c r="A55" s="62"/>
      <c r="B55" s="44"/>
      <c r="C55" s="48"/>
      <c r="D55" s="66"/>
      <c r="E55" s="67"/>
      <c r="F55" s="145" t="s">
        <v>88</v>
      </c>
      <c r="G55" s="146"/>
      <c r="H55" s="145" t="s">
        <v>116</v>
      </c>
      <c r="I55" s="147">
        <v>20</v>
      </c>
      <c r="J55" s="59"/>
    </row>
    <row r="56" spans="1:10" s="42" customFormat="1" ht="15">
      <c r="A56" s="62"/>
      <c r="B56" s="44"/>
      <c r="C56" s="48"/>
      <c r="D56" s="66"/>
      <c r="E56" s="67"/>
      <c r="F56" s="145" t="s">
        <v>88</v>
      </c>
      <c r="G56" s="146"/>
      <c r="H56" s="145" t="s">
        <v>117</v>
      </c>
      <c r="I56" s="147">
        <v>40</v>
      </c>
      <c r="J56" s="59"/>
    </row>
    <row r="57" spans="1:10" s="42" customFormat="1" ht="15">
      <c r="A57" s="62"/>
      <c r="B57" s="44"/>
      <c r="C57" s="48"/>
      <c r="D57" s="66"/>
      <c r="E57" s="67"/>
      <c r="F57" s="145" t="s">
        <v>88</v>
      </c>
      <c r="G57" s="146"/>
      <c r="H57" s="145" t="s">
        <v>118</v>
      </c>
      <c r="I57" s="147">
        <v>50</v>
      </c>
      <c r="J57" s="59"/>
    </row>
    <row r="58" spans="1:10" s="42" customFormat="1" ht="15">
      <c r="A58" s="62"/>
      <c r="B58" s="44"/>
      <c r="C58" s="48"/>
      <c r="D58" s="66"/>
      <c r="E58" s="67"/>
      <c r="F58" s="145" t="s">
        <v>88</v>
      </c>
      <c r="G58" s="146"/>
      <c r="H58" s="145" t="s">
        <v>119</v>
      </c>
      <c r="I58" s="147">
        <v>100</v>
      </c>
      <c r="J58" s="59"/>
    </row>
    <row r="59" spans="1:10" s="42" customFormat="1" ht="15">
      <c r="A59" s="62"/>
      <c r="B59" s="44"/>
      <c r="C59" s="48"/>
      <c r="D59" s="66"/>
      <c r="E59" s="67"/>
      <c r="F59" s="145" t="s">
        <v>88</v>
      </c>
      <c r="G59" s="146"/>
      <c r="H59" s="145" t="s">
        <v>120</v>
      </c>
      <c r="I59" s="147">
        <v>150</v>
      </c>
      <c r="J59" s="59"/>
    </row>
    <row r="60" spans="1:10" s="42" customFormat="1" ht="15">
      <c r="A60" s="62"/>
      <c r="B60" s="44"/>
      <c r="C60" s="48"/>
      <c r="D60" s="66"/>
      <c r="E60" s="67"/>
      <c r="F60" s="145" t="s">
        <v>89</v>
      </c>
      <c r="G60" s="146"/>
      <c r="H60" s="145" t="s">
        <v>121</v>
      </c>
      <c r="I60" s="147">
        <v>20</v>
      </c>
      <c r="J60" s="59"/>
    </row>
    <row r="61" spans="1:10" s="42" customFormat="1" ht="15">
      <c r="A61" s="62"/>
      <c r="B61" s="44"/>
      <c r="C61" s="48"/>
      <c r="D61" s="66"/>
      <c r="E61" s="67"/>
      <c r="F61" s="145" t="s">
        <v>89</v>
      </c>
      <c r="G61" s="146"/>
      <c r="H61" s="145" t="s">
        <v>122</v>
      </c>
      <c r="I61" s="147">
        <v>50</v>
      </c>
      <c r="J61" s="59"/>
    </row>
    <row r="62" spans="1:10" s="42" customFormat="1" ht="15">
      <c r="A62" s="62"/>
      <c r="B62" s="44"/>
      <c r="C62" s="48"/>
      <c r="D62" s="66"/>
      <c r="E62" s="67"/>
      <c r="F62" s="145" t="s">
        <v>89</v>
      </c>
      <c r="G62" s="146"/>
      <c r="H62" s="145" t="s">
        <v>123</v>
      </c>
      <c r="I62" s="147">
        <v>50</v>
      </c>
      <c r="J62" s="59"/>
    </row>
    <row r="63" spans="1:10" s="42" customFormat="1" ht="15">
      <c r="A63" s="62"/>
      <c r="B63" s="44"/>
      <c r="C63" s="48"/>
      <c r="D63" s="66"/>
      <c r="E63" s="67"/>
      <c r="F63" s="145" t="s">
        <v>89</v>
      </c>
      <c r="G63" s="146"/>
      <c r="H63" s="145" t="s">
        <v>124</v>
      </c>
      <c r="I63" s="147">
        <v>50</v>
      </c>
      <c r="J63" s="59"/>
    </row>
    <row r="64" spans="1:10" s="42" customFormat="1" ht="45">
      <c r="A64" s="62"/>
      <c r="B64" s="44"/>
      <c r="C64" s="48"/>
      <c r="D64" s="66"/>
      <c r="E64" s="67"/>
      <c r="F64" s="145" t="s">
        <v>89</v>
      </c>
      <c r="G64" s="146"/>
      <c r="H64" s="149" t="s">
        <v>125</v>
      </c>
      <c r="I64" s="147">
        <v>50</v>
      </c>
      <c r="J64" s="59"/>
    </row>
    <row r="65" spans="1:10" s="42" customFormat="1" ht="15">
      <c r="A65" s="62"/>
      <c r="B65" s="44"/>
      <c r="C65" s="48"/>
      <c r="D65" s="66"/>
      <c r="E65" s="67"/>
      <c r="F65" s="145" t="s">
        <v>89</v>
      </c>
      <c r="G65" s="146"/>
      <c r="H65" s="145" t="s">
        <v>126</v>
      </c>
      <c r="I65" s="147">
        <v>50</v>
      </c>
      <c r="J65" s="59"/>
    </row>
    <row r="66" spans="1:10" s="42" customFormat="1" ht="15">
      <c r="A66" s="62"/>
      <c r="B66" s="44"/>
      <c r="C66" s="48"/>
      <c r="D66" s="66"/>
      <c r="E66" s="67"/>
      <c r="F66" s="149" t="s">
        <v>89</v>
      </c>
      <c r="G66" s="146"/>
      <c r="H66" s="149" t="s">
        <v>127</v>
      </c>
      <c r="I66" s="147">
        <v>50</v>
      </c>
      <c r="J66" s="59"/>
    </row>
    <row r="67" spans="1:10" s="42" customFormat="1" ht="15">
      <c r="A67" s="62"/>
      <c r="B67" s="44"/>
      <c r="C67" s="48"/>
      <c r="D67" s="66"/>
      <c r="E67" s="67"/>
      <c r="F67" s="150" t="s">
        <v>89</v>
      </c>
      <c r="G67" s="146"/>
      <c r="H67" s="150" t="s">
        <v>128</v>
      </c>
      <c r="I67" s="151">
        <v>150</v>
      </c>
      <c r="J67" s="59"/>
    </row>
    <row r="68" spans="1:10" s="42" customFormat="1" ht="15">
      <c r="A68" s="62"/>
      <c r="B68" s="44"/>
      <c r="C68" s="48"/>
      <c r="D68" s="66"/>
      <c r="E68" s="67"/>
      <c r="F68" s="145" t="s">
        <v>89</v>
      </c>
      <c r="G68" s="146"/>
      <c r="H68" s="145" t="s">
        <v>129</v>
      </c>
      <c r="I68" s="147">
        <v>200</v>
      </c>
      <c r="J68" s="59"/>
    </row>
    <row r="69" spans="1:10" s="42" customFormat="1" ht="15">
      <c r="A69" s="62"/>
      <c r="B69" s="44"/>
      <c r="C69" s="48"/>
      <c r="D69" s="66"/>
      <c r="E69" s="67"/>
      <c r="F69" s="145" t="s">
        <v>90</v>
      </c>
      <c r="G69" s="146"/>
      <c r="H69" s="145" t="s">
        <v>130</v>
      </c>
      <c r="I69" s="147">
        <v>300</v>
      </c>
      <c r="J69" s="59"/>
    </row>
    <row r="70" spans="1:10" s="42" customFormat="1" ht="15">
      <c r="A70" s="62"/>
      <c r="B70" s="44"/>
      <c r="C70" s="48"/>
      <c r="D70" s="66"/>
      <c r="E70" s="67"/>
      <c r="F70" s="145" t="s">
        <v>91</v>
      </c>
      <c r="G70" s="146"/>
      <c r="H70" s="145" t="s">
        <v>131</v>
      </c>
      <c r="I70" s="147">
        <v>50</v>
      </c>
      <c r="J70" s="59"/>
    </row>
    <row r="71" spans="1:10" s="42" customFormat="1" ht="15">
      <c r="A71" s="62"/>
      <c r="B71" s="44"/>
      <c r="C71" s="48"/>
      <c r="D71" s="66"/>
      <c r="E71" s="67"/>
      <c r="F71" s="145" t="s">
        <v>91</v>
      </c>
      <c r="G71" s="146"/>
      <c r="H71" s="145" t="s">
        <v>132</v>
      </c>
      <c r="I71" s="147">
        <v>100</v>
      </c>
      <c r="J71" s="59"/>
    </row>
    <row r="72" spans="1:10" s="42" customFormat="1" ht="15">
      <c r="A72" s="62"/>
      <c r="B72" s="44"/>
      <c r="C72" s="48"/>
      <c r="D72" s="66"/>
      <c r="E72" s="67"/>
      <c r="F72" s="145" t="s">
        <v>91</v>
      </c>
      <c r="G72" s="146"/>
      <c r="H72" s="145" t="s">
        <v>121</v>
      </c>
      <c r="I72" s="147">
        <v>400</v>
      </c>
      <c r="J72" s="59"/>
    </row>
    <row r="73" spans="1:10" s="42" customFormat="1" ht="15">
      <c r="A73" s="62"/>
      <c r="B73" s="44"/>
      <c r="C73" s="48"/>
      <c r="D73" s="66"/>
      <c r="E73" s="67"/>
      <c r="F73" s="145" t="s">
        <v>91</v>
      </c>
      <c r="G73" s="146"/>
      <c r="H73" s="145" t="s">
        <v>133</v>
      </c>
      <c r="I73" s="147">
        <v>500</v>
      </c>
      <c r="J73" s="59"/>
    </row>
    <row r="74" spans="1:10" s="42" customFormat="1" ht="15">
      <c r="A74" s="62"/>
      <c r="B74" s="44"/>
      <c r="C74" s="48"/>
      <c r="D74" s="66"/>
      <c r="E74" s="67"/>
      <c r="F74" s="145" t="s">
        <v>92</v>
      </c>
      <c r="G74" s="146"/>
      <c r="H74" s="145" t="s">
        <v>134</v>
      </c>
      <c r="I74" s="147">
        <v>10</v>
      </c>
      <c r="J74" s="59"/>
    </row>
    <row r="75" spans="1:10" s="42" customFormat="1" ht="15">
      <c r="A75" s="62"/>
      <c r="B75" s="44"/>
      <c r="C75" s="48"/>
      <c r="D75" s="66"/>
      <c r="E75" s="67"/>
      <c r="F75" s="145" t="s">
        <v>92</v>
      </c>
      <c r="G75" s="146"/>
      <c r="H75" s="145" t="s">
        <v>135</v>
      </c>
      <c r="I75" s="147">
        <v>50</v>
      </c>
      <c r="J75" s="59"/>
    </row>
    <row r="76" spans="1:10" s="42" customFormat="1" ht="15">
      <c r="A76" s="62"/>
      <c r="B76" s="44"/>
      <c r="C76" s="48"/>
      <c r="D76" s="66"/>
      <c r="E76" s="67"/>
      <c r="F76" s="145" t="s">
        <v>92</v>
      </c>
      <c r="G76" s="146"/>
      <c r="H76" s="145" t="s">
        <v>136</v>
      </c>
      <c r="I76" s="147">
        <v>100</v>
      </c>
      <c r="J76" s="59"/>
    </row>
    <row r="77" spans="1:10" s="42" customFormat="1" ht="15">
      <c r="A77" s="62"/>
      <c r="B77" s="44"/>
      <c r="C77" s="48"/>
      <c r="D77" s="66"/>
      <c r="E77" s="67"/>
      <c r="F77" s="145" t="s">
        <v>92</v>
      </c>
      <c r="G77" s="146"/>
      <c r="H77" s="145" t="s">
        <v>137</v>
      </c>
      <c r="I77" s="147">
        <v>100</v>
      </c>
      <c r="J77" s="59"/>
    </row>
    <row r="78" spans="1:10" s="42" customFormat="1" ht="15">
      <c r="A78" s="62"/>
      <c r="B78" s="44"/>
      <c r="C78" s="48"/>
      <c r="D78" s="66"/>
      <c r="E78" s="67"/>
      <c r="F78" s="145" t="s">
        <v>92</v>
      </c>
      <c r="G78" s="146"/>
      <c r="H78" s="145" t="s">
        <v>138</v>
      </c>
      <c r="I78" s="147">
        <v>211</v>
      </c>
      <c r="J78" s="59"/>
    </row>
    <row r="79" spans="1:10" s="42" customFormat="1" ht="15">
      <c r="A79" s="62"/>
      <c r="B79" s="44"/>
      <c r="C79" s="48"/>
      <c r="D79" s="66"/>
      <c r="E79" s="67"/>
      <c r="F79" s="145" t="s">
        <v>93</v>
      </c>
      <c r="G79" s="146"/>
      <c r="H79" s="145" t="s">
        <v>139</v>
      </c>
      <c r="I79" s="147">
        <v>100</v>
      </c>
      <c r="J79" s="59"/>
    </row>
    <row r="80" spans="1:10" s="42" customFormat="1" ht="15">
      <c r="A80" s="62"/>
      <c r="B80" s="44"/>
      <c r="C80" s="48"/>
      <c r="D80" s="66"/>
      <c r="E80" s="67"/>
      <c r="F80" s="145" t="s">
        <v>93</v>
      </c>
      <c r="G80" s="146"/>
      <c r="H80" s="145" t="s">
        <v>140</v>
      </c>
      <c r="I80" s="147">
        <v>500</v>
      </c>
      <c r="J80" s="59"/>
    </row>
    <row r="81" spans="1:10" s="42" customFormat="1" ht="15">
      <c r="A81" s="62"/>
      <c r="B81" s="44"/>
      <c r="C81" s="48"/>
      <c r="D81" s="66"/>
      <c r="E81" s="67"/>
      <c r="F81" s="145" t="s">
        <v>94</v>
      </c>
      <c r="G81" s="146"/>
      <c r="H81" s="145" t="s">
        <v>141</v>
      </c>
      <c r="I81" s="147">
        <v>25</v>
      </c>
      <c r="J81" s="59"/>
    </row>
    <row r="82" spans="1:10" s="42" customFormat="1" ht="15">
      <c r="A82" s="62"/>
      <c r="B82" s="44"/>
      <c r="C82" s="48"/>
      <c r="D82" s="66"/>
      <c r="E82" s="67"/>
      <c r="F82" s="145" t="s">
        <v>94</v>
      </c>
      <c r="G82" s="146"/>
      <c r="H82" s="145" t="s">
        <v>142</v>
      </c>
      <c r="I82" s="147">
        <v>50</v>
      </c>
      <c r="J82" s="59"/>
    </row>
    <row r="83" spans="1:10" s="42" customFormat="1" ht="15">
      <c r="A83" s="62"/>
      <c r="B83" s="44"/>
      <c r="C83" s="48"/>
      <c r="D83" s="66"/>
      <c r="E83" s="67"/>
      <c r="F83" s="145" t="s">
        <v>94</v>
      </c>
      <c r="G83" s="146"/>
      <c r="H83" s="145" t="s">
        <v>143</v>
      </c>
      <c r="I83" s="147">
        <v>100</v>
      </c>
      <c r="J83" s="59"/>
    </row>
    <row r="84" spans="1:10" s="42" customFormat="1" ht="15">
      <c r="A84" s="62"/>
      <c r="B84" s="44"/>
      <c r="C84" s="48"/>
      <c r="D84" s="66"/>
      <c r="E84" s="67"/>
      <c r="F84" s="145" t="s">
        <v>95</v>
      </c>
      <c r="G84" s="146"/>
      <c r="H84" s="145" t="s">
        <v>144</v>
      </c>
      <c r="I84" s="148">
        <v>1000</v>
      </c>
      <c r="J84" s="59"/>
    </row>
    <row r="85" spans="1:10" s="42" customFormat="1" ht="15">
      <c r="A85" s="62"/>
      <c r="B85" s="44"/>
      <c r="C85" s="48"/>
      <c r="D85" s="66"/>
      <c r="E85" s="67"/>
      <c r="F85" s="145" t="s">
        <v>96</v>
      </c>
      <c r="G85" s="146"/>
      <c r="H85" s="145" t="s">
        <v>145</v>
      </c>
      <c r="I85" s="147">
        <v>50</v>
      </c>
      <c r="J85" s="59"/>
    </row>
    <row r="86" spans="1:10" s="42" customFormat="1" ht="15">
      <c r="A86" s="62"/>
      <c r="B86" s="44"/>
      <c r="C86" s="48"/>
      <c r="D86" s="66"/>
      <c r="E86" s="67"/>
      <c r="F86" s="145" t="s">
        <v>96</v>
      </c>
      <c r="G86" s="146"/>
      <c r="H86" s="145" t="s">
        <v>146</v>
      </c>
      <c r="I86" s="147">
        <v>60</v>
      </c>
      <c r="J86" s="59"/>
    </row>
    <row r="87" spans="1:10" s="42" customFormat="1" ht="15">
      <c r="A87" s="62"/>
      <c r="B87" s="44"/>
      <c r="C87" s="48"/>
      <c r="D87" s="66"/>
      <c r="E87" s="67"/>
      <c r="F87" s="145" t="s">
        <v>96</v>
      </c>
      <c r="G87" s="146"/>
      <c r="H87" s="145" t="s">
        <v>147</v>
      </c>
      <c r="I87" s="147">
        <v>150</v>
      </c>
      <c r="J87" s="59"/>
    </row>
    <row r="88" spans="1:10" s="42" customFormat="1" ht="15">
      <c r="A88" s="62"/>
      <c r="B88" s="44"/>
      <c r="C88" s="48"/>
      <c r="D88" s="66"/>
      <c r="E88" s="67"/>
      <c r="F88" s="145" t="s">
        <v>97</v>
      </c>
      <c r="G88" s="146"/>
      <c r="H88" s="145" t="s">
        <v>148</v>
      </c>
      <c r="I88" s="147">
        <v>100</v>
      </c>
      <c r="J88" s="59"/>
    </row>
    <row r="89" spans="1:10" s="42" customFormat="1" ht="15">
      <c r="A89" s="62"/>
      <c r="B89" s="44"/>
      <c r="C89" s="48"/>
      <c r="D89" s="66"/>
      <c r="E89" s="67"/>
      <c r="F89" s="145" t="s">
        <v>98</v>
      </c>
      <c r="G89" s="146"/>
      <c r="H89" s="145" t="s">
        <v>149</v>
      </c>
      <c r="I89" s="147">
        <v>200</v>
      </c>
      <c r="J89" s="59"/>
    </row>
    <row r="90" spans="1:10" s="42" customFormat="1" ht="30">
      <c r="A90" s="62"/>
      <c r="B90" s="44"/>
      <c r="C90" s="48"/>
      <c r="D90" s="66"/>
      <c r="E90" s="67"/>
      <c r="F90" s="145" t="s">
        <v>99</v>
      </c>
      <c r="G90" s="146"/>
      <c r="H90" s="149" t="s">
        <v>150</v>
      </c>
      <c r="I90" s="147">
        <v>20</v>
      </c>
      <c r="J90" s="59"/>
    </row>
    <row r="91" spans="1:10" s="42" customFormat="1" ht="30">
      <c r="A91" s="62"/>
      <c r="B91" s="44"/>
      <c r="C91" s="48"/>
      <c r="D91" s="66"/>
      <c r="E91" s="67"/>
      <c r="F91" s="145" t="s">
        <v>99</v>
      </c>
      <c r="G91" s="146"/>
      <c r="H91" s="149" t="s">
        <v>151</v>
      </c>
      <c r="I91" s="147">
        <v>20</v>
      </c>
      <c r="J91" s="59"/>
    </row>
    <row r="92" spans="1:10" s="42" customFormat="1" ht="24" customHeight="1">
      <c r="A92" s="62"/>
      <c r="B92" s="44"/>
      <c r="C92" s="48"/>
      <c r="D92" s="66"/>
      <c r="E92" s="67"/>
      <c r="F92" s="150" t="s">
        <v>99</v>
      </c>
      <c r="G92" s="146"/>
      <c r="H92" s="150" t="s">
        <v>148</v>
      </c>
      <c r="I92" s="151">
        <v>150</v>
      </c>
      <c r="J92" s="59"/>
    </row>
    <row r="93" spans="1:10" s="42" customFormat="1" ht="24" customHeight="1">
      <c r="A93" s="62"/>
      <c r="B93" s="44"/>
      <c r="C93" s="48"/>
      <c r="D93" s="66"/>
      <c r="E93" s="67"/>
      <c r="F93" s="145" t="s">
        <v>99</v>
      </c>
      <c r="G93" s="146"/>
      <c r="H93" s="145" t="s">
        <v>152</v>
      </c>
      <c r="I93" s="147">
        <v>250</v>
      </c>
      <c r="J93" s="59"/>
    </row>
    <row r="94" spans="1:10" s="42" customFormat="1" ht="15">
      <c r="A94" s="62"/>
      <c r="B94" s="44"/>
      <c r="C94" s="48"/>
      <c r="D94" s="66"/>
      <c r="E94" s="67"/>
      <c r="F94" s="145" t="s">
        <v>100</v>
      </c>
      <c r="G94" s="146"/>
      <c r="H94" s="145" t="s">
        <v>153</v>
      </c>
      <c r="I94" s="147">
        <v>20</v>
      </c>
      <c r="J94" s="59"/>
    </row>
    <row r="95" spans="1:10" s="42" customFormat="1" ht="45">
      <c r="A95" s="62"/>
      <c r="B95" s="44"/>
      <c r="C95" s="48"/>
      <c r="D95" s="66"/>
      <c r="E95" s="67"/>
      <c r="F95" s="145" t="s">
        <v>100</v>
      </c>
      <c r="G95" s="146"/>
      <c r="H95" s="149" t="s">
        <v>154</v>
      </c>
      <c r="I95" s="147">
        <v>20</v>
      </c>
      <c r="J95" s="59"/>
    </row>
    <row r="96" spans="1:10" s="42" customFormat="1" ht="15">
      <c r="A96" s="62"/>
      <c r="B96" s="44"/>
      <c r="C96" s="48"/>
      <c r="D96" s="66"/>
      <c r="E96" s="67"/>
      <c r="F96" s="145" t="s">
        <v>100</v>
      </c>
      <c r="G96" s="146"/>
      <c r="H96" s="145" t="s">
        <v>155</v>
      </c>
      <c r="I96" s="147">
        <v>40</v>
      </c>
      <c r="J96" s="59"/>
    </row>
    <row r="97" spans="1:10" s="42" customFormat="1" ht="15">
      <c r="A97" s="62"/>
      <c r="B97" s="44"/>
      <c r="C97" s="48"/>
      <c r="D97" s="66"/>
      <c r="E97" s="67"/>
      <c r="F97" s="145" t="s">
        <v>100</v>
      </c>
      <c r="G97" s="146"/>
      <c r="H97" s="145" t="s">
        <v>156</v>
      </c>
      <c r="I97" s="147">
        <v>40</v>
      </c>
      <c r="J97" s="59"/>
    </row>
    <row r="98" spans="1:10" s="42" customFormat="1" ht="15">
      <c r="A98" s="62"/>
      <c r="B98" s="44"/>
      <c r="C98" s="48"/>
      <c r="D98" s="66"/>
      <c r="E98" s="67"/>
      <c r="F98" s="145" t="s">
        <v>100</v>
      </c>
      <c r="G98" s="146"/>
      <c r="H98" s="145" t="s">
        <v>157</v>
      </c>
      <c r="I98" s="147">
        <v>40</v>
      </c>
      <c r="J98" s="59"/>
    </row>
    <row r="99" spans="1:10" s="42" customFormat="1" ht="15">
      <c r="A99" s="62"/>
      <c r="B99" s="44"/>
      <c r="C99" s="48"/>
      <c r="D99" s="66"/>
      <c r="E99" s="67"/>
      <c r="F99" s="145" t="s">
        <v>100</v>
      </c>
      <c r="G99" s="146"/>
      <c r="H99" s="145" t="s">
        <v>158</v>
      </c>
      <c r="I99" s="147">
        <v>50</v>
      </c>
      <c r="J99" s="59"/>
    </row>
    <row r="100" spans="1:10" s="42" customFormat="1" ht="15">
      <c r="A100" s="62"/>
      <c r="B100" s="44"/>
      <c r="C100" s="48"/>
      <c r="D100" s="66"/>
      <c r="E100" s="67"/>
      <c r="F100" s="145" t="s">
        <v>100</v>
      </c>
      <c r="G100" s="146"/>
      <c r="H100" s="145" t="s">
        <v>159</v>
      </c>
      <c r="I100" s="147">
        <v>50</v>
      </c>
      <c r="J100" s="59"/>
    </row>
    <row r="101" spans="1:10" s="42" customFormat="1" ht="15">
      <c r="A101" s="62"/>
      <c r="B101" s="44"/>
      <c r="C101" s="48"/>
      <c r="D101" s="66"/>
      <c r="E101" s="67"/>
      <c r="F101" s="145" t="s">
        <v>100</v>
      </c>
      <c r="G101" s="146"/>
      <c r="H101" s="145" t="s">
        <v>160</v>
      </c>
      <c r="I101" s="147">
        <v>50</v>
      </c>
      <c r="J101" s="59"/>
    </row>
    <row r="102" spans="1:10" s="42" customFormat="1" ht="15">
      <c r="A102" s="62"/>
      <c r="B102" s="44"/>
      <c r="C102" s="48"/>
      <c r="D102" s="66"/>
      <c r="E102" s="67"/>
      <c r="F102" s="145" t="s">
        <v>100</v>
      </c>
      <c r="G102" s="146"/>
      <c r="H102" s="145" t="s">
        <v>161</v>
      </c>
      <c r="I102" s="147">
        <v>100</v>
      </c>
      <c r="J102" s="59"/>
    </row>
    <row r="103" spans="1:10" s="42" customFormat="1" ht="15">
      <c r="A103" s="62"/>
      <c r="B103" s="44"/>
      <c r="C103" s="48"/>
      <c r="D103" s="66"/>
      <c r="E103" s="67"/>
      <c r="F103" s="145" t="s">
        <v>100</v>
      </c>
      <c r="G103" s="146"/>
      <c r="H103" s="145" t="s">
        <v>162</v>
      </c>
      <c r="I103" s="147">
        <v>100</v>
      </c>
      <c r="J103" s="59"/>
    </row>
    <row r="104" spans="1:10" s="42" customFormat="1" ht="15">
      <c r="A104" s="62"/>
      <c r="B104" s="44"/>
      <c r="C104" s="48"/>
      <c r="D104" s="66"/>
      <c r="E104" s="67"/>
      <c r="F104" s="145" t="s">
        <v>101</v>
      </c>
      <c r="G104" s="146"/>
      <c r="H104" s="145" t="s">
        <v>163</v>
      </c>
      <c r="I104" s="147">
        <v>15</v>
      </c>
      <c r="J104" s="59"/>
    </row>
    <row r="105" spans="1:10" s="42" customFormat="1" ht="15">
      <c r="A105" s="62"/>
      <c r="B105" s="44"/>
      <c r="C105" s="48"/>
      <c r="D105" s="66"/>
      <c r="E105" s="67"/>
      <c r="F105" s="145" t="s">
        <v>101</v>
      </c>
      <c r="G105" s="146"/>
      <c r="H105" s="145" t="s">
        <v>164</v>
      </c>
      <c r="I105" s="147">
        <v>15</v>
      </c>
      <c r="J105" s="59"/>
    </row>
    <row r="106" spans="1:10" s="42" customFormat="1" ht="15">
      <c r="A106" s="62"/>
      <c r="B106" s="44"/>
      <c r="C106" s="48"/>
      <c r="D106" s="66"/>
      <c r="E106" s="67"/>
      <c r="F106" s="145" t="s">
        <v>101</v>
      </c>
      <c r="G106" s="146"/>
      <c r="H106" s="145" t="s">
        <v>165</v>
      </c>
      <c r="I106" s="147">
        <v>20</v>
      </c>
      <c r="J106" s="59"/>
    </row>
    <row r="107" spans="1:10" s="42" customFormat="1" ht="15">
      <c r="A107" s="62"/>
      <c r="B107" s="44"/>
      <c r="C107" s="48"/>
      <c r="D107" s="66"/>
      <c r="E107" s="67"/>
      <c r="F107" s="145" t="s">
        <v>101</v>
      </c>
      <c r="G107" s="146"/>
      <c r="H107" s="145" t="s">
        <v>166</v>
      </c>
      <c r="I107" s="147">
        <v>20</v>
      </c>
      <c r="J107" s="59"/>
    </row>
    <row r="108" spans="1:10" s="42" customFormat="1" ht="15">
      <c r="A108" s="62"/>
      <c r="B108" s="44"/>
      <c r="C108" s="48"/>
      <c r="D108" s="66"/>
      <c r="E108" s="67"/>
      <c r="F108" s="145" t="s">
        <v>101</v>
      </c>
      <c r="G108" s="146"/>
      <c r="H108" s="145" t="s">
        <v>167</v>
      </c>
      <c r="I108" s="147">
        <v>20</v>
      </c>
      <c r="J108" s="59"/>
    </row>
    <row r="109" spans="1:10" s="42" customFormat="1" ht="15">
      <c r="A109" s="62"/>
      <c r="B109" s="44"/>
      <c r="C109" s="48"/>
      <c r="D109" s="66"/>
      <c r="E109" s="67"/>
      <c r="F109" s="145" t="s">
        <v>101</v>
      </c>
      <c r="G109" s="146"/>
      <c r="H109" s="145" t="s">
        <v>168</v>
      </c>
      <c r="I109" s="147">
        <v>20</v>
      </c>
      <c r="J109" s="59"/>
    </row>
    <row r="110" spans="1:10" s="42" customFormat="1" ht="15">
      <c r="A110" s="62"/>
      <c r="B110" s="44"/>
      <c r="C110" s="48"/>
      <c r="D110" s="66"/>
      <c r="E110" s="67"/>
      <c r="F110" s="145" t="s">
        <v>101</v>
      </c>
      <c r="G110" s="146"/>
      <c r="H110" s="145" t="s">
        <v>169</v>
      </c>
      <c r="I110" s="147">
        <v>20</v>
      </c>
      <c r="J110" s="59"/>
    </row>
    <row r="111" spans="1:10" s="42" customFormat="1" ht="15">
      <c r="A111" s="62"/>
      <c r="B111" s="44"/>
      <c r="C111" s="48"/>
      <c r="D111" s="66"/>
      <c r="E111" s="67"/>
      <c r="F111" s="145" t="s">
        <v>101</v>
      </c>
      <c r="G111" s="146"/>
      <c r="H111" s="145" t="s">
        <v>170</v>
      </c>
      <c r="I111" s="147">
        <v>20</v>
      </c>
      <c r="J111" s="59"/>
    </row>
    <row r="112" spans="1:10" s="42" customFormat="1" ht="15">
      <c r="A112" s="62"/>
      <c r="B112" s="44"/>
      <c r="C112" s="48"/>
      <c r="D112" s="66"/>
      <c r="E112" s="67"/>
      <c r="F112" s="145" t="s">
        <v>101</v>
      </c>
      <c r="G112" s="146"/>
      <c r="H112" s="145" t="s">
        <v>171</v>
      </c>
      <c r="I112" s="147">
        <v>20</v>
      </c>
      <c r="J112" s="59"/>
    </row>
    <row r="113" spans="1:10" s="42" customFormat="1" ht="15">
      <c r="A113" s="62"/>
      <c r="B113" s="44"/>
      <c r="C113" s="48"/>
      <c r="D113" s="66"/>
      <c r="E113" s="67"/>
      <c r="F113" s="145" t="s">
        <v>101</v>
      </c>
      <c r="G113" s="146"/>
      <c r="H113" s="145" t="s">
        <v>172</v>
      </c>
      <c r="I113" s="147">
        <v>50</v>
      </c>
      <c r="J113" s="59"/>
    </row>
    <row r="114" spans="1:10" s="42" customFormat="1" ht="15">
      <c r="A114" s="62"/>
      <c r="B114" s="44"/>
      <c r="C114" s="48"/>
      <c r="D114" s="66"/>
      <c r="E114" s="67"/>
      <c r="F114" s="145" t="s">
        <v>101</v>
      </c>
      <c r="G114" s="146"/>
      <c r="H114" s="145" t="s">
        <v>173</v>
      </c>
      <c r="I114" s="147">
        <v>50</v>
      </c>
      <c r="J114" s="59"/>
    </row>
    <row r="115" spans="1:10" s="42" customFormat="1" ht="15">
      <c r="A115" s="62"/>
      <c r="B115" s="44"/>
      <c r="C115" s="48"/>
      <c r="D115" s="66"/>
      <c r="E115" s="67"/>
      <c r="F115" s="145" t="s">
        <v>101</v>
      </c>
      <c r="G115" s="146"/>
      <c r="H115" s="145" t="s">
        <v>174</v>
      </c>
      <c r="I115" s="147">
        <v>50</v>
      </c>
      <c r="J115" s="59"/>
    </row>
    <row r="116" spans="1:10" s="42" customFormat="1" ht="15">
      <c r="A116" s="62"/>
      <c r="B116" s="44"/>
      <c r="C116" s="48"/>
      <c r="D116" s="66"/>
      <c r="E116" s="67"/>
      <c r="F116" s="145" t="s">
        <v>101</v>
      </c>
      <c r="G116" s="146"/>
      <c r="H116" s="145" t="s">
        <v>175</v>
      </c>
      <c r="I116" s="147">
        <v>50</v>
      </c>
      <c r="J116" s="59"/>
    </row>
    <row r="117" spans="1:10" s="42" customFormat="1" ht="15">
      <c r="A117" s="62"/>
      <c r="B117" s="44"/>
      <c r="C117" s="48"/>
      <c r="D117" s="66"/>
      <c r="E117" s="67"/>
      <c r="F117" s="145" t="s">
        <v>101</v>
      </c>
      <c r="G117" s="146"/>
      <c r="H117" s="145" t="s">
        <v>176</v>
      </c>
      <c r="I117" s="147">
        <v>50</v>
      </c>
      <c r="J117" s="59"/>
    </row>
    <row r="118" spans="1:10" s="42" customFormat="1" ht="15">
      <c r="A118" s="62"/>
      <c r="B118" s="44"/>
      <c r="C118" s="48"/>
      <c r="D118" s="66"/>
      <c r="E118" s="67"/>
      <c r="F118" s="145" t="s">
        <v>101</v>
      </c>
      <c r="G118" s="146"/>
      <c r="H118" s="145" t="s">
        <v>177</v>
      </c>
      <c r="I118" s="147">
        <v>50</v>
      </c>
      <c r="J118" s="59"/>
    </row>
    <row r="119" spans="1:10" s="42" customFormat="1" ht="15">
      <c r="A119" s="62"/>
      <c r="B119" s="44"/>
      <c r="C119" s="48"/>
      <c r="D119" s="66"/>
      <c r="E119" s="67"/>
      <c r="F119" s="145" t="s">
        <v>101</v>
      </c>
      <c r="G119" s="146"/>
      <c r="H119" s="145" t="s">
        <v>178</v>
      </c>
      <c r="I119" s="147">
        <v>50</v>
      </c>
      <c r="J119" s="59"/>
    </row>
    <row r="120" spans="1:10" s="42" customFormat="1" ht="15">
      <c r="A120" s="62"/>
      <c r="B120" s="44"/>
      <c r="C120" s="48"/>
      <c r="D120" s="66"/>
      <c r="E120" s="67"/>
      <c r="F120" s="145" t="s">
        <v>101</v>
      </c>
      <c r="G120" s="146"/>
      <c r="H120" s="145" t="s">
        <v>179</v>
      </c>
      <c r="I120" s="147">
        <v>100</v>
      </c>
      <c r="J120" s="59"/>
    </row>
    <row r="121" spans="1:10" s="42" customFormat="1" ht="30">
      <c r="A121" s="62"/>
      <c r="B121" s="44"/>
      <c r="C121" s="48"/>
      <c r="D121" s="66"/>
      <c r="E121" s="67"/>
      <c r="F121" s="145" t="s">
        <v>101</v>
      </c>
      <c r="G121" s="146"/>
      <c r="H121" s="149" t="s">
        <v>180</v>
      </c>
      <c r="I121" s="147">
        <v>100</v>
      </c>
      <c r="J121" s="59"/>
    </row>
    <row r="122" spans="1:10" s="42" customFormat="1" ht="15">
      <c r="A122" s="62"/>
      <c r="B122" s="44"/>
      <c r="C122" s="48"/>
      <c r="D122" s="66"/>
      <c r="E122" s="67"/>
      <c r="F122" s="145" t="s">
        <v>101</v>
      </c>
      <c r="G122" s="146"/>
      <c r="H122" s="145" t="s">
        <v>181</v>
      </c>
      <c r="I122" s="147">
        <v>100</v>
      </c>
      <c r="J122" s="59"/>
    </row>
    <row r="123" spans="1:10" s="42" customFormat="1" ht="15">
      <c r="A123" s="62"/>
      <c r="B123" s="44"/>
      <c r="C123" s="48"/>
      <c r="D123" s="66"/>
      <c r="E123" s="67"/>
      <c r="F123" s="145" t="s">
        <v>101</v>
      </c>
      <c r="G123" s="146"/>
      <c r="H123" s="145" t="s">
        <v>182</v>
      </c>
      <c r="I123" s="147">
        <v>100</v>
      </c>
      <c r="J123" s="59"/>
    </row>
    <row r="124" spans="1:10" s="42" customFormat="1" ht="15">
      <c r="A124" s="62"/>
      <c r="B124" s="44"/>
      <c r="C124" s="48"/>
      <c r="D124" s="66"/>
      <c r="E124" s="67"/>
      <c r="F124" s="145" t="s">
        <v>101</v>
      </c>
      <c r="G124" s="146"/>
      <c r="H124" s="145" t="s">
        <v>183</v>
      </c>
      <c r="I124" s="147">
        <v>100</v>
      </c>
      <c r="J124" s="59"/>
    </row>
    <row r="125" spans="1:10" s="42" customFormat="1" ht="15">
      <c r="A125" s="62"/>
      <c r="B125" s="44"/>
      <c r="C125" s="48"/>
      <c r="D125" s="66"/>
      <c r="E125" s="67"/>
      <c r="F125" s="145" t="s">
        <v>101</v>
      </c>
      <c r="G125" s="146"/>
      <c r="H125" s="145" t="s">
        <v>184</v>
      </c>
      <c r="I125" s="147">
        <v>100</v>
      </c>
      <c r="J125" s="59"/>
    </row>
    <row r="126" spans="1:10" s="42" customFormat="1" ht="15">
      <c r="A126" s="62"/>
      <c r="B126" s="44"/>
      <c r="C126" s="48"/>
      <c r="D126" s="66"/>
      <c r="E126" s="67"/>
      <c r="F126" s="145" t="s">
        <v>101</v>
      </c>
      <c r="G126" s="146"/>
      <c r="H126" s="145" t="s">
        <v>185</v>
      </c>
      <c r="I126" s="147">
        <v>100</v>
      </c>
      <c r="J126" s="59"/>
    </row>
    <row r="127" spans="1:10" s="42" customFormat="1" ht="15">
      <c r="A127" s="62"/>
      <c r="B127" s="44"/>
      <c r="C127" s="48"/>
      <c r="D127" s="66"/>
      <c r="E127" s="67"/>
      <c r="F127" s="145" t="s">
        <v>101</v>
      </c>
      <c r="G127" s="146"/>
      <c r="H127" s="145" t="s">
        <v>186</v>
      </c>
      <c r="I127" s="147">
        <v>150</v>
      </c>
      <c r="J127" s="59"/>
    </row>
    <row r="128" spans="1:10" s="42" customFormat="1" ht="15">
      <c r="A128" s="62"/>
      <c r="B128" s="44"/>
      <c r="C128" s="48"/>
      <c r="D128" s="66"/>
      <c r="E128" s="67"/>
      <c r="F128" s="145" t="s">
        <v>101</v>
      </c>
      <c r="G128" s="146"/>
      <c r="H128" s="145" t="s">
        <v>187</v>
      </c>
      <c r="I128" s="147">
        <v>200</v>
      </c>
      <c r="J128" s="59"/>
    </row>
    <row r="129" spans="1:10" s="42" customFormat="1" ht="15">
      <c r="A129" s="62"/>
      <c r="B129" s="44"/>
      <c r="C129" s="48"/>
      <c r="D129" s="66"/>
      <c r="E129" s="67"/>
      <c r="F129" s="145" t="s">
        <v>101</v>
      </c>
      <c r="G129" s="146"/>
      <c r="H129" s="145" t="s">
        <v>188</v>
      </c>
      <c r="I129" s="147">
        <v>200</v>
      </c>
      <c r="J129" s="59"/>
    </row>
    <row r="130" spans="1:10" s="42" customFormat="1" ht="15">
      <c r="A130" s="62"/>
      <c r="B130" s="44"/>
      <c r="C130" s="48"/>
      <c r="D130" s="66"/>
      <c r="E130" s="67"/>
      <c r="F130" s="145" t="s">
        <v>101</v>
      </c>
      <c r="G130" s="146"/>
      <c r="H130" s="145" t="s">
        <v>189</v>
      </c>
      <c r="I130" s="147">
        <v>500</v>
      </c>
      <c r="J130" s="59"/>
    </row>
    <row r="131" spans="1:10" s="42" customFormat="1" ht="15">
      <c r="A131" s="62"/>
      <c r="B131" s="44"/>
      <c r="C131" s="48"/>
      <c r="D131" s="66"/>
      <c r="E131" s="67"/>
      <c r="F131" s="145" t="s">
        <v>102</v>
      </c>
      <c r="G131" s="146"/>
      <c r="H131" s="145" t="s">
        <v>190</v>
      </c>
      <c r="I131" s="147">
        <v>20</v>
      </c>
      <c r="J131" s="59"/>
    </row>
    <row r="132" spans="1:10" s="42" customFormat="1" ht="15">
      <c r="A132" s="62"/>
      <c r="B132" s="44"/>
      <c r="C132" s="48"/>
      <c r="D132" s="66"/>
      <c r="E132" s="67"/>
      <c r="F132" s="145" t="s">
        <v>102</v>
      </c>
      <c r="G132" s="146"/>
      <c r="H132" s="145" t="s">
        <v>191</v>
      </c>
      <c r="I132" s="147">
        <v>20</v>
      </c>
      <c r="J132" s="59"/>
    </row>
    <row r="133" spans="1:10" s="42" customFormat="1" ht="15">
      <c r="A133" s="62"/>
      <c r="B133" s="44"/>
      <c r="C133" s="48"/>
      <c r="D133" s="66"/>
      <c r="E133" s="67"/>
      <c r="F133" s="145" t="s">
        <v>102</v>
      </c>
      <c r="G133" s="146"/>
      <c r="H133" s="145" t="s">
        <v>192</v>
      </c>
      <c r="I133" s="147">
        <v>50</v>
      </c>
      <c r="J133" s="59"/>
    </row>
    <row r="134" spans="1:10" s="42" customFormat="1" ht="15">
      <c r="A134" s="62"/>
      <c r="B134" s="44"/>
      <c r="C134" s="48"/>
      <c r="D134" s="66"/>
      <c r="E134" s="67"/>
      <c r="F134" s="145" t="s">
        <v>102</v>
      </c>
      <c r="G134" s="146"/>
      <c r="H134" s="145" t="s">
        <v>193</v>
      </c>
      <c r="I134" s="147">
        <v>100</v>
      </c>
      <c r="J134" s="59"/>
    </row>
    <row r="135" spans="1:10" s="42" customFormat="1" ht="15">
      <c r="A135" s="62"/>
      <c r="B135" s="44"/>
      <c r="C135" s="48"/>
      <c r="D135" s="66"/>
      <c r="E135" s="67"/>
      <c r="F135" s="145" t="s">
        <v>102</v>
      </c>
      <c r="G135" s="146"/>
      <c r="H135" s="145" t="s">
        <v>194</v>
      </c>
      <c r="I135" s="147">
        <v>100</v>
      </c>
      <c r="J135" s="59"/>
    </row>
    <row r="136" spans="1:10" s="42" customFormat="1" ht="15">
      <c r="A136" s="62"/>
      <c r="B136" s="44"/>
      <c r="C136" s="48"/>
      <c r="D136" s="66"/>
      <c r="E136" s="67"/>
      <c r="F136" s="145" t="s">
        <v>102</v>
      </c>
      <c r="G136" s="146"/>
      <c r="H136" s="145" t="s">
        <v>195</v>
      </c>
      <c r="I136" s="147">
        <v>100</v>
      </c>
      <c r="J136" s="59"/>
    </row>
    <row r="137" spans="1:10" s="42" customFormat="1" ht="15">
      <c r="A137" s="62"/>
      <c r="B137" s="44"/>
      <c r="C137" s="48"/>
      <c r="D137" s="66"/>
      <c r="E137" s="67"/>
      <c r="F137" s="145" t="s">
        <v>102</v>
      </c>
      <c r="G137" s="146"/>
      <c r="H137" s="145" t="s">
        <v>196</v>
      </c>
      <c r="I137" s="147">
        <v>100</v>
      </c>
      <c r="J137" s="59"/>
    </row>
    <row r="138" spans="1:10" s="42" customFormat="1" ht="15">
      <c r="A138" s="62"/>
      <c r="B138" s="44"/>
      <c r="C138" s="48"/>
      <c r="D138" s="66"/>
      <c r="E138" s="67"/>
      <c r="F138" s="145" t="s">
        <v>102</v>
      </c>
      <c r="G138" s="146"/>
      <c r="H138" s="145" t="s">
        <v>197</v>
      </c>
      <c r="I138" s="147">
        <v>500</v>
      </c>
      <c r="J138" s="59"/>
    </row>
    <row r="139" spans="1:10" s="42" customFormat="1" ht="15">
      <c r="A139" s="62"/>
      <c r="B139" s="44"/>
      <c r="C139" s="48"/>
      <c r="D139" s="66"/>
      <c r="E139" s="67"/>
      <c r="F139" s="145" t="s">
        <v>103</v>
      </c>
      <c r="G139" s="146"/>
      <c r="H139" s="145" t="s">
        <v>198</v>
      </c>
      <c r="I139" s="147">
        <v>50</v>
      </c>
      <c r="J139" s="59"/>
    </row>
    <row r="140" spans="1:10" s="42" customFormat="1" ht="15">
      <c r="A140" s="62"/>
      <c r="B140" s="44"/>
      <c r="C140" s="48"/>
      <c r="D140" s="66"/>
      <c r="E140" s="67"/>
      <c r="F140" s="152" t="s">
        <v>103</v>
      </c>
      <c r="G140" s="146"/>
      <c r="H140" s="152" t="s">
        <v>107</v>
      </c>
      <c r="I140" s="151">
        <v>50</v>
      </c>
      <c r="J140" s="59"/>
    </row>
    <row r="141" spans="1:10" s="42" customFormat="1" ht="15">
      <c r="A141" s="62"/>
      <c r="B141" s="44"/>
      <c r="C141" s="48"/>
      <c r="D141" s="66"/>
      <c r="E141" s="67"/>
      <c r="F141" s="145" t="s">
        <v>103</v>
      </c>
      <c r="G141" s="146"/>
      <c r="H141" s="145" t="s">
        <v>199</v>
      </c>
      <c r="I141" s="147">
        <v>60</v>
      </c>
      <c r="J141" s="59"/>
    </row>
    <row r="142" spans="1:10" s="42" customFormat="1" ht="15">
      <c r="A142" s="62"/>
      <c r="B142" s="44"/>
      <c r="C142" s="48"/>
      <c r="D142" s="66"/>
      <c r="E142" s="67"/>
      <c r="F142" s="145" t="s">
        <v>103</v>
      </c>
      <c r="G142" s="146"/>
      <c r="H142" s="145" t="s">
        <v>200</v>
      </c>
      <c r="I142" s="147">
        <v>100</v>
      </c>
      <c r="J142" s="59"/>
    </row>
    <row r="143" spans="1:10" s="42" customFormat="1" ht="15">
      <c r="A143" s="62"/>
      <c r="B143" s="44"/>
      <c r="C143" s="48"/>
      <c r="D143" s="66"/>
      <c r="E143" s="67"/>
      <c r="F143" s="145" t="s">
        <v>103</v>
      </c>
      <c r="G143" s="146"/>
      <c r="H143" s="145" t="s">
        <v>201</v>
      </c>
      <c r="I143" s="147">
        <v>100</v>
      </c>
      <c r="J143" s="59"/>
    </row>
    <row r="144" spans="1:10" s="42" customFormat="1" ht="15">
      <c r="A144" s="62"/>
      <c r="B144" s="44"/>
      <c r="C144" s="48"/>
      <c r="D144" s="66"/>
      <c r="E144" s="67"/>
      <c r="F144" s="145" t="s">
        <v>103</v>
      </c>
      <c r="G144" s="146"/>
      <c r="H144" s="145" t="s">
        <v>202</v>
      </c>
      <c r="I144" s="147">
        <v>100</v>
      </c>
      <c r="J144" s="59"/>
    </row>
    <row r="145" spans="1:10" s="42" customFormat="1" ht="15">
      <c r="A145" s="62"/>
      <c r="B145" s="44"/>
      <c r="C145" s="48"/>
      <c r="D145" s="66"/>
      <c r="E145" s="67"/>
      <c r="F145" s="145" t="s">
        <v>104</v>
      </c>
      <c r="G145" s="146"/>
      <c r="H145" s="145" t="s">
        <v>203</v>
      </c>
      <c r="I145" s="147">
        <v>20</v>
      </c>
      <c r="J145" s="59"/>
    </row>
    <row r="146" spans="1:10" s="42" customFormat="1" ht="15">
      <c r="A146" s="62"/>
      <c r="B146" s="44"/>
      <c r="C146" s="48"/>
      <c r="D146" s="66"/>
      <c r="E146" s="67"/>
      <c r="F146" s="145" t="s">
        <v>104</v>
      </c>
      <c r="G146" s="146"/>
      <c r="H146" s="145" t="s">
        <v>204</v>
      </c>
      <c r="I146" s="147">
        <v>20</v>
      </c>
      <c r="J146" s="59"/>
    </row>
    <row r="147" spans="1:10" s="42" customFormat="1" ht="15">
      <c r="A147" s="62"/>
      <c r="B147" s="44"/>
      <c r="C147" s="48"/>
      <c r="D147" s="66"/>
      <c r="E147" s="67"/>
      <c r="F147" s="145" t="s">
        <v>104</v>
      </c>
      <c r="G147" s="146"/>
      <c r="H147" s="145" t="s">
        <v>205</v>
      </c>
      <c r="I147" s="147">
        <v>50</v>
      </c>
      <c r="J147" s="59"/>
    </row>
    <row r="148" spans="1:10" s="42" customFormat="1" ht="15">
      <c r="A148" s="62"/>
      <c r="B148" s="44"/>
      <c r="C148" s="48"/>
      <c r="D148" s="66"/>
      <c r="E148" s="67"/>
      <c r="F148" s="145" t="s">
        <v>104</v>
      </c>
      <c r="G148" s="146"/>
      <c r="H148" s="145" t="s">
        <v>206</v>
      </c>
      <c r="I148" s="147">
        <v>100</v>
      </c>
      <c r="J148" s="59"/>
    </row>
    <row r="149" spans="1:10" s="42" customFormat="1" ht="15">
      <c r="A149" s="62"/>
      <c r="B149" s="44"/>
      <c r="C149" s="48"/>
      <c r="D149" s="66"/>
      <c r="E149" s="67"/>
      <c r="F149" s="145" t="s">
        <v>104</v>
      </c>
      <c r="G149" s="146"/>
      <c r="H149" s="145" t="s">
        <v>207</v>
      </c>
      <c r="I149" s="147">
        <v>100</v>
      </c>
      <c r="J149" s="59"/>
    </row>
    <row r="150" spans="1:10" s="42" customFormat="1" ht="15">
      <c r="A150" s="62"/>
      <c r="B150" s="44"/>
      <c r="C150" s="48"/>
      <c r="D150" s="66"/>
      <c r="E150" s="67"/>
      <c r="F150" s="145" t="s">
        <v>104</v>
      </c>
      <c r="G150" s="146"/>
      <c r="H150" s="145" t="s">
        <v>208</v>
      </c>
      <c r="I150" s="147">
        <v>150</v>
      </c>
      <c r="J150" s="59"/>
    </row>
    <row r="151" spans="1:10" s="42" customFormat="1" ht="15">
      <c r="A151" s="62"/>
      <c r="B151" s="44"/>
      <c r="C151" s="48"/>
      <c r="D151" s="66"/>
      <c r="E151" s="67"/>
      <c r="F151" s="145" t="s">
        <v>104</v>
      </c>
      <c r="G151" s="146"/>
      <c r="H151" s="145" t="s">
        <v>209</v>
      </c>
      <c r="I151" s="147">
        <v>200</v>
      </c>
      <c r="J151" s="59"/>
    </row>
    <row r="152" spans="1:10" s="42" customFormat="1" ht="15">
      <c r="A152" s="62"/>
      <c r="B152" s="44"/>
      <c r="C152" s="48"/>
      <c r="D152" s="66"/>
      <c r="E152" s="67"/>
      <c r="F152" s="145" t="s">
        <v>104</v>
      </c>
      <c r="G152" s="146"/>
      <c r="H152" s="145" t="s">
        <v>210</v>
      </c>
      <c r="I152" s="148">
        <v>1000</v>
      </c>
      <c r="J152" s="59"/>
    </row>
    <row r="153" spans="1:10" s="42" customFormat="1" ht="15">
      <c r="A153" s="62"/>
      <c r="B153" s="44"/>
      <c r="C153" s="48"/>
      <c r="D153" s="66"/>
      <c r="E153" s="67"/>
      <c r="F153" s="145" t="s">
        <v>105</v>
      </c>
      <c r="G153" s="146"/>
      <c r="H153" s="145" t="s">
        <v>211</v>
      </c>
      <c r="I153" s="147">
        <v>20</v>
      </c>
      <c r="J153" s="59"/>
    </row>
    <row r="154" spans="1:10" s="42" customFormat="1" ht="15">
      <c r="A154" s="62"/>
      <c r="B154" s="44"/>
      <c r="C154" s="48"/>
      <c r="D154" s="66"/>
      <c r="E154" s="67"/>
      <c r="F154" s="145" t="s">
        <v>105</v>
      </c>
      <c r="G154" s="146"/>
      <c r="H154" s="145" t="s">
        <v>212</v>
      </c>
      <c r="I154" s="147">
        <v>100</v>
      </c>
      <c r="J154" s="59"/>
    </row>
    <row r="155" spans="1:10" s="42" customFormat="1" ht="15">
      <c r="A155" s="62"/>
      <c r="B155" s="44"/>
      <c r="C155" s="48"/>
      <c r="D155" s="66"/>
      <c r="E155" s="67"/>
      <c r="F155" s="145" t="s">
        <v>105</v>
      </c>
      <c r="G155" s="146"/>
      <c r="H155" s="145" t="s">
        <v>213</v>
      </c>
      <c r="I155" s="147">
        <v>100</v>
      </c>
      <c r="J155" s="59"/>
    </row>
    <row r="156" spans="1:10" s="42" customFormat="1" ht="15">
      <c r="A156" s="62"/>
      <c r="B156" s="44"/>
      <c r="C156" s="48"/>
      <c r="D156" s="66"/>
      <c r="E156" s="67"/>
      <c r="F156" s="145" t="s">
        <v>106</v>
      </c>
      <c r="G156" s="146"/>
      <c r="H156" s="145" t="s">
        <v>214</v>
      </c>
      <c r="I156" s="153">
        <v>300</v>
      </c>
      <c r="J156" s="59"/>
    </row>
    <row r="157" spans="1:10" s="42" customFormat="1" ht="16">
      <c r="A157" s="62"/>
      <c r="B157" s="44"/>
      <c r="C157" s="48"/>
      <c r="D157" s="66"/>
      <c r="E157" s="67"/>
      <c r="F157" s="52"/>
      <c r="H157" s="53"/>
      <c r="I157" s="131"/>
      <c r="J157" s="132"/>
    </row>
    <row r="158" spans="1:10" s="42" customFormat="1" ht="13">
      <c r="A158" s="62"/>
      <c r="B158" s="48"/>
      <c r="C158" s="48"/>
      <c r="D158" s="45"/>
      <c r="E158" s="46"/>
      <c r="F158" s="48"/>
      <c r="G158" s="48"/>
      <c r="H158" s="48"/>
      <c r="I158" s="68"/>
    </row>
    <row r="159" spans="1:10" s="42" customFormat="1" ht="13">
      <c r="A159" s="50"/>
      <c r="B159" s="48"/>
      <c r="C159" s="48"/>
      <c r="D159" s="69"/>
      <c r="E159" s="70"/>
      <c r="F159" s="71"/>
      <c r="G159" s="48"/>
      <c r="H159" s="48"/>
      <c r="I159" s="72"/>
    </row>
    <row r="160" spans="1:10" s="42" customFormat="1" ht="13">
      <c r="A160" s="43">
        <f>A9</f>
        <v>41894</v>
      </c>
      <c r="B160" s="73" t="s">
        <v>7</v>
      </c>
      <c r="C160" s="48"/>
      <c r="D160" s="74">
        <f>SUM(D14:D159)</f>
        <v>565</v>
      </c>
      <c r="E160" s="75"/>
      <c r="F160" s="71">
        <f>F9</f>
        <v>41894</v>
      </c>
      <c r="G160" s="76" t="s">
        <v>7</v>
      </c>
      <c r="H160" s="48"/>
      <c r="I160" s="77">
        <f>SUM(I14:I159)</f>
        <v>30012.74</v>
      </c>
    </row>
    <row r="161" spans="1:10" s="42" customFormat="1" ht="13">
      <c r="A161" s="50"/>
      <c r="B161" s="48"/>
      <c r="C161" s="78"/>
      <c r="D161" s="45"/>
      <c r="E161" s="46"/>
      <c r="F161" s="71"/>
      <c r="G161" s="48"/>
      <c r="H161" s="79"/>
      <c r="I161" s="80"/>
    </row>
    <row r="162" spans="1:10" s="42" customFormat="1" ht="17">
      <c r="A162" s="43"/>
      <c r="B162" s="44"/>
      <c r="C162" s="137" t="s">
        <v>8</v>
      </c>
      <c r="D162" s="45"/>
      <c r="E162" s="46"/>
      <c r="F162" s="71"/>
      <c r="G162" s="48"/>
      <c r="H162" s="124" t="s">
        <v>9</v>
      </c>
      <c r="I162" s="81"/>
    </row>
    <row r="163" spans="1:10" s="42" customFormat="1" ht="13">
      <c r="A163" s="43"/>
      <c r="B163" s="44"/>
      <c r="C163" s="82"/>
      <c r="D163" s="45"/>
      <c r="E163" s="46"/>
      <c r="F163" s="83"/>
      <c r="G163" s="65"/>
      <c r="H163" s="48"/>
      <c r="I163" s="81"/>
    </row>
    <row r="164" spans="1:10" s="42" customFormat="1" ht="16">
      <c r="A164" s="43"/>
      <c r="B164" s="84"/>
      <c r="C164" s="84"/>
      <c r="D164" s="45"/>
      <c r="E164" s="46"/>
      <c r="F164" s="85" t="s">
        <v>18</v>
      </c>
      <c r="G164" s="53">
        <v>35125</v>
      </c>
      <c r="H164" s="54" t="s">
        <v>19</v>
      </c>
      <c r="I164" s="55">
        <v>150</v>
      </c>
    </row>
    <row r="165" spans="1:10" s="42" customFormat="1" ht="16">
      <c r="A165" s="43"/>
      <c r="B165" s="84"/>
      <c r="C165" s="84"/>
      <c r="D165" s="45"/>
      <c r="E165" s="46"/>
      <c r="F165" s="85" t="s">
        <v>20</v>
      </c>
      <c r="G165" s="53">
        <v>34921</v>
      </c>
      <c r="H165" s="54" t="s">
        <v>21</v>
      </c>
      <c r="I165" s="55">
        <v>100</v>
      </c>
    </row>
    <row r="166" spans="1:10" s="42" customFormat="1" ht="13">
      <c r="A166" s="43"/>
      <c r="B166" s="84"/>
      <c r="C166" s="84"/>
      <c r="D166" s="45"/>
      <c r="E166" s="46"/>
      <c r="F166" s="86"/>
      <c r="G166" s="48"/>
      <c r="H166" s="48"/>
      <c r="I166" s="72"/>
    </row>
    <row r="167" spans="1:10" s="42" customFormat="1" ht="13">
      <c r="A167" s="43"/>
      <c r="B167" s="44"/>
      <c r="C167" s="82"/>
      <c r="D167" s="45"/>
      <c r="E167" s="46"/>
      <c r="F167" s="87"/>
      <c r="G167" s="65"/>
      <c r="H167" s="48"/>
      <c r="I167" s="81"/>
    </row>
    <row r="168" spans="1:10" s="42" customFormat="1" ht="13">
      <c r="A168" s="43"/>
      <c r="B168" s="44"/>
      <c r="C168" s="82"/>
      <c r="D168" s="45"/>
      <c r="E168" s="46"/>
      <c r="F168" s="48"/>
      <c r="G168" s="48"/>
      <c r="H168" s="48"/>
      <c r="I168" s="68"/>
      <c r="J168" s="59"/>
    </row>
    <row r="169" spans="1:10" s="42" customFormat="1" ht="13">
      <c r="A169" s="88"/>
      <c r="B169" s="89"/>
      <c r="C169" s="82"/>
      <c r="D169" s="69"/>
      <c r="E169" s="70"/>
      <c r="F169" s="47"/>
      <c r="G169" s="65"/>
      <c r="H169" s="48"/>
      <c r="I169" s="81"/>
    </row>
    <row r="170" spans="1:10" s="42" customFormat="1" ht="13">
      <c r="A170" s="50"/>
      <c r="B170" s="48"/>
      <c r="C170" s="48"/>
      <c r="D170" s="90"/>
      <c r="E170" s="91"/>
      <c r="F170" s="71"/>
      <c r="G170" s="92"/>
      <c r="H170" s="48"/>
      <c r="I170" s="81"/>
    </row>
    <row r="171" spans="1:10" s="42" customFormat="1" ht="13">
      <c r="A171" s="43">
        <f>A160</f>
        <v>41894</v>
      </c>
      <c r="B171" s="76" t="s">
        <v>7</v>
      </c>
      <c r="C171" s="48"/>
      <c r="D171" s="93">
        <f>SUM(D163:D170)</f>
        <v>0</v>
      </c>
      <c r="E171" s="46"/>
      <c r="F171" s="71">
        <f>F160</f>
        <v>41894</v>
      </c>
      <c r="G171" s="76" t="s">
        <v>7</v>
      </c>
      <c r="H171" s="48"/>
      <c r="I171" s="94">
        <f>SUM(I163:I170)</f>
        <v>250</v>
      </c>
    </row>
    <row r="172" spans="1:10" s="42" customFormat="1" ht="13">
      <c r="A172" s="43"/>
      <c r="B172" s="48"/>
      <c r="C172" s="48"/>
      <c r="D172" s="48"/>
      <c r="E172" s="95"/>
      <c r="F172" s="71"/>
      <c r="G172" s="48"/>
      <c r="H172" s="48"/>
      <c r="I172" s="72"/>
    </row>
    <row r="173" spans="1:10" s="42" customFormat="1" ht="13">
      <c r="A173" s="96"/>
      <c r="B173" s="48"/>
      <c r="C173" s="48"/>
      <c r="D173" s="48"/>
      <c r="E173" s="95"/>
      <c r="F173" s="71"/>
      <c r="G173" s="48"/>
      <c r="H173" s="48"/>
      <c r="I173" s="72"/>
    </row>
    <row r="174" spans="1:10" s="42" customFormat="1" ht="13">
      <c r="A174" s="96"/>
      <c r="B174" s="48"/>
      <c r="C174" s="97" t="s">
        <v>10</v>
      </c>
      <c r="D174" s="93">
        <f>D9+D160+D171</f>
        <v>58560.46</v>
      </c>
      <c r="E174" s="98"/>
      <c r="F174" s="71"/>
      <c r="G174" s="48"/>
      <c r="H174" s="97" t="s">
        <v>10</v>
      </c>
      <c r="I174" s="77">
        <f>I9+I160+I171</f>
        <v>58559.460000000006</v>
      </c>
    </row>
    <row r="175" spans="1:10" s="42" customFormat="1" ht="13">
      <c r="A175" s="96"/>
      <c r="B175" s="48"/>
      <c r="C175" s="97"/>
      <c r="D175" s="99"/>
      <c r="E175" s="100"/>
      <c r="G175" s="48"/>
      <c r="H175" s="97"/>
      <c r="I175" s="101"/>
    </row>
    <row r="176" spans="1:10" s="42" customFormat="1" ht="13">
      <c r="A176" s="96"/>
      <c r="B176" s="48"/>
      <c r="C176" s="97"/>
      <c r="D176" s="48"/>
      <c r="E176" s="95"/>
      <c r="F176" s="48"/>
      <c r="G176" s="48"/>
      <c r="H176" s="97"/>
      <c r="I176" s="101"/>
    </row>
    <row r="177" spans="1:9" s="42" customFormat="1" ht="13">
      <c r="A177" s="50"/>
      <c r="B177" s="48"/>
      <c r="C177" s="48"/>
      <c r="D177" s="48"/>
      <c r="E177" s="95"/>
      <c r="F177" s="71"/>
      <c r="G177" s="48"/>
      <c r="H177" s="48"/>
      <c r="I177" s="72"/>
    </row>
    <row r="178" spans="1:9" s="42" customFormat="1" ht="13">
      <c r="A178" s="50"/>
      <c r="B178" s="48"/>
      <c r="C178" s="48"/>
      <c r="D178" s="48"/>
      <c r="E178" s="95"/>
      <c r="F178" s="102"/>
      <c r="G178" s="48"/>
      <c r="H178" s="48"/>
      <c r="I178" s="72"/>
    </row>
    <row r="179" spans="1:9" s="42" customFormat="1" ht="19">
      <c r="A179" s="50"/>
      <c r="B179" s="48"/>
      <c r="C179" s="48"/>
      <c r="D179" s="158">
        <f>D174-I174</f>
        <v>0.99999999999272404</v>
      </c>
      <c r="E179" s="158"/>
      <c r="F179" s="158"/>
      <c r="G179" s="48"/>
      <c r="H179" s="48"/>
      <c r="I179" s="72"/>
    </row>
    <row r="180" spans="1:9" s="42" customFormat="1" ht="13">
      <c r="A180" s="50"/>
      <c r="B180" s="48"/>
      <c r="C180" s="48"/>
      <c r="D180" s="48"/>
      <c r="E180" s="95"/>
      <c r="F180" s="71"/>
      <c r="G180" s="48"/>
      <c r="H180" s="48"/>
      <c r="I180" s="72"/>
    </row>
    <row r="181" spans="1:9" s="42" customFormat="1" ht="13">
      <c r="A181" s="50"/>
      <c r="B181" s="48"/>
      <c r="C181" s="48"/>
      <c r="D181" s="48"/>
      <c r="E181" s="95"/>
      <c r="F181" s="71"/>
      <c r="G181" s="48"/>
      <c r="H181" s="48"/>
      <c r="I181" s="72"/>
    </row>
    <row r="182" spans="1:9" s="42" customFormat="1" ht="13">
      <c r="A182" s="50">
        <f>A171</f>
        <v>41894</v>
      </c>
      <c r="B182" s="44"/>
      <c r="C182" s="48" t="s">
        <v>14</v>
      </c>
      <c r="D182" s="45"/>
      <c r="E182" s="46"/>
      <c r="F182" s="71"/>
      <c r="G182" s="48"/>
      <c r="H182" s="48" t="s">
        <v>11</v>
      </c>
      <c r="I182" s="72"/>
    </row>
    <row r="183" spans="1:9" s="42" customFormat="1" ht="13">
      <c r="A183" s="50"/>
      <c r="B183" s="44"/>
      <c r="C183" s="48"/>
      <c r="D183" s="45"/>
      <c r="E183" s="46"/>
      <c r="F183" s="71"/>
      <c r="G183" s="48"/>
      <c r="H183" s="48"/>
      <c r="I183" s="72"/>
    </row>
    <row r="184" spans="1:9" s="42" customFormat="1" ht="13">
      <c r="A184" s="50"/>
      <c r="B184" s="44"/>
      <c r="C184" s="48"/>
      <c r="D184" s="45"/>
      <c r="E184" s="46"/>
      <c r="F184" s="103"/>
      <c r="G184" s="48"/>
      <c r="H184" s="48"/>
      <c r="I184" s="72"/>
    </row>
    <row r="185" spans="1:9" s="42" customFormat="1" ht="13">
      <c r="A185" s="50"/>
      <c r="B185" s="44"/>
      <c r="C185" s="48" t="s">
        <v>12</v>
      </c>
      <c r="D185" s="104"/>
      <c r="E185" s="105"/>
      <c r="F185" s="106"/>
      <c r="G185" s="48"/>
      <c r="H185" s="48" t="s">
        <v>13</v>
      </c>
      <c r="I185" s="107"/>
    </row>
    <row r="186" spans="1:9">
      <c r="A186" s="33"/>
      <c r="B186" s="34"/>
      <c r="C186" s="34"/>
      <c r="D186" s="34"/>
      <c r="E186" s="35"/>
      <c r="F186" s="34"/>
      <c r="G186" s="34"/>
      <c r="H186" s="34"/>
      <c r="I186" s="36"/>
    </row>
  </sheetData>
  <sortState ref="F46:I156">
    <sortCondition ref="F46:F156"/>
  </sortState>
  <mergeCells count="2">
    <mergeCell ref="A3:C3"/>
    <mergeCell ref="D179:F179"/>
  </mergeCells>
  <pageMargins left="0.75" right="0.75" top="1" bottom="1" header="0.5" footer="0.5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sqref="A1:XFD1048576"/>
    </sheetView>
  </sheetViews>
  <sheetFormatPr baseColWidth="10" defaultColWidth="8.83203125" defaultRowHeight="12" x14ac:dyDescent="0"/>
  <sheetData>
    <row r="1" spans="1:1">
      <c r="A1" t="s">
        <v>85</v>
      </c>
    </row>
    <row r="18" spans="9:9">
      <c r="I18" s="129"/>
    </row>
    <row r="23" spans="9:9">
      <c r="I23" s="130"/>
    </row>
  </sheetData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 2014</vt:lpstr>
      <vt:lpstr>AUG 2014</vt:lpstr>
      <vt:lpstr>Sheet2</vt:lpstr>
      <vt:lpstr>Sheet3</vt:lpstr>
    </vt:vector>
  </TitlesOfParts>
  <Company>Databankgroup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kwamet</dc:creator>
  <cp:lastModifiedBy>Nunya Afari</cp:lastModifiedBy>
  <cp:lastPrinted>2013-09-11T17:46:47Z</cp:lastPrinted>
  <dcterms:created xsi:type="dcterms:W3CDTF">2010-11-22T10:44:05Z</dcterms:created>
  <dcterms:modified xsi:type="dcterms:W3CDTF">2015-04-25T18:56:05Z</dcterms:modified>
</cp:coreProperties>
</file>